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nstitucional" sheetId="2" state="visible" r:id="rId4"/>
    <sheet name="Administrativo" sheetId="3" state="visible" r:id="rId5"/>
    <sheet name="Penal" sheetId="4" state="visible" r:id="rId6"/>
    <sheet name="Procesal" sheetId="5" state="visible" r:id="rId7"/>
    <sheet name="Comercial" sheetId="6" state="visible" r:id="rId8"/>
    <sheet name="Civil" sheetId="7" state="visible" r:id="rId9"/>
    <sheet name="Familia" sheetId="8" state="visible" r:id="rId10"/>
    <sheet name="Tributario" sheetId="9" state="visible" r:id="rId11"/>
    <sheet name="Laboral" sheetId="10" state="visible" r:id="rId12"/>
    <sheet name="Mercados" sheetId="11" state="visible" r:id="rId13"/>
    <sheet name="Inventario completo" sheetId="12" state="visible" r:id="rId14"/>
  </sheets>
  <definedNames>
    <definedName function="false" hidden="true" localSheetId="11" name="_xlnm._FilterDatabase" vbProcedure="false">'Inventario completo'!$A$3:$I$324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Referencias del seed a cada área (un documento con varias áreas reparte sus ítems en partes iguales) divididas por las preguntas del área. Valor calculado en Python a partir de seed_targets.json; orientativo, no exacto.</t>
        </r>
      </text>
    </comment>
    <comment ref="H4" authorId="0">
      <text>
        <r>
          <rPr>
            <sz val="10"/>
            <rFont val="Arial"/>
            <family val="2"/>
          </rPr>
          <t xml:space="preserve">Filas de la tabla 'legal_basis de muestra que el seed no cubre' en la hoja del área (incluye referencias no extraíbles).</t>
        </r>
      </text>
    </comment>
  </commentList>
</comments>
</file>

<file path=xl/sharedStrings.xml><?xml version="1.0" encoding="utf-8"?>
<sst xmlns="http://schemas.openxmlformats.org/spreadsheetml/2006/main" count="6202" uniqueCount="1329">
  <si>
    <t xml:space="preserve">Inventario de fuentes · Hackathon 2026</t>
  </si>
  <si>
    <t xml:space="preserve">Construido desde data/seed_targets.json y los legal_basis de data/sample_50.jsonl. Los conteos son fórmulas sobre las hojas de cada área y el inventario completo.</t>
  </si>
  <si>
    <t xml:space="preserve">Área</t>
  </si>
  <si>
    <t xml:space="preserve">Preguntas</t>
  </si>
  <si>
    <t xml:space="preserve">Docs en seed</t>
  </si>
  <si>
    <t xml:space="preserve">Faltan · alta</t>
  </si>
  <si>
    <t xml:space="preserve">Faltan · media</t>
  </si>
  <si>
    <t xml:space="preserve">Faltan · baja</t>
  </si>
  <si>
    <t xml:space="preserve">Cobertura estimada del seed</t>
  </si>
  <si>
    <t xml:space="preserve">Normas de muestra sin cubrir</t>
  </si>
  <si>
    <t xml:space="preserve">Constitucional</t>
  </si>
  <si>
    <t xml:space="preserve">Administrativo</t>
  </si>
  <si>
    <t xml:space="preserve">Penal</t>
  </si>
  <si>
    <t xml:space="preserve">Procesal</t>
  </si>
  <si>
    <t xml:space="preserve">Comercial</t>
  </si>
  <si>
    <t xml:space="preserve">Civil</t>
  </si>
  <si>
    <t xml:space="preserve">Familia</t>
  </si>
  <si>
    <t xml:space="preserve">Tributario</t>
  </si>
  <si>
    <t xml:space="preserve">Laboral</t>
  </si>
  <si>
    <t xml:space="preserve">Mercados</t>
  </si>
  <si>
    <t xml:space="preserve">Total</t>
  </si>
  <si>
    <t xml:space="preserve">Los totales por área suman documentos compartidos más de una vez; los conteos únicos están abajo.</t>
  </si>
  <si>
    <t xml:space="preserve">Documentos únicos</t>
  </si>
  <si>
    <t xml:space="preserve">Documentos en el seed</t>
  </si>
  <si>
    <t xml:space="preserve">  de ellos, marcados para revisar</t>
  </si>
  <si>
    <t xml:space="preserve">Faltantes · prioridad alta</t>
  </si>
  <si>
    <t xml:space="preserve">Faltantes · prioridad media</t>
  </si>
  <si>
    <t xml:space="preserve">Faltantes · prioridad baja</t>
  </si>
  <si>
    <t xml:space="preserve">Faltantes · total</t>
  </si>
  <si>
    <t xml:space="preserve">  de ellos, por verificar</t>
  </si>
  <si>
    <t xml:space="preserve">Las 3 áreas con mayor brecha</t>
  </si>
  <si>
    <t xml:space="preserve">1. Administrativo (124 preguntas): cobertura estimada 0,31. Falta su norma base (CPACA, citado 2 veces en la muestra), la Ley 472 de 1998 y la Ley 489 de 1998.</t>
  </si>
  <si>
    <t xml:space="preserve">2. Procesal (111 preguntas): cobertura estimada 0,32. Tiene el CGP pero le faltan el CPACA, el CPP, la Ley 270 de 1996 y el Código Procesal del Trabajo anterior.</t>
  </si>
  <si>
    <t xml:space="preserve">3. Penal (123 preguntas): cobertura estimada 0,33. No tiene ni el Código Penal (3 citas en la muestra) ni el CPP; el seed solo trae jurisprudencia penal.</t>
  </si>
  <si>
    <t xml:space="preserve">Juntas suman 358 preguntas (34% del banco). Siguen Comercial (0,51, sin Código de Comercio) y Civil/Familia (sin Código Civil, 5 citas en la muestra).</t>
  </si>
  <si>
    <t xml:space="preserve">Criterios y convenciones</t>
  </si>
  <si>
    <t xml:space="preserve">Prioridad alta: norma base del área, citada en un legal_basis de muestra, o (en el seed) citada en 5 o más ítems del banco.</t>
  </si>
  <si>
    <t xml:space="preserve">Prioridad media: complementaria de uso frecuente, sentencia de unificación o hito, o (en el seed) 2 a 4 ítems. Baja: cobertura marginal o 1 ítem.</t>
  </si>
  <si>
    <t xml:space="preserve">En las áreas con más preguntas (constitucional, administrativo, penal) las complementarias de uso amplio se subieron a media.</t>
  </si>
  <si>
    <t xml:space="preserve">URL del seed: se conservan tal cual (son puntos de búsqueda con ?q=). URL de faltantes: códigos con página verificada en el Senado; leyes con el patrón verificado basedoc/ley_NNNN_AAAA.html (confirmar al descargar); decretos con búsqueda en SUIN; sentencias con búsqueda en la relatoría.</t>
  </si>
  <si>
    <t xml:space="preserve">Documentos compartidos entre áreas (p. ej., Código Civil, CPACA, CPP) aparecen en cada hoja de área y una sola vez en 'Inventario completo'.</t>
  </si>
  <si>
    <t xml:space="preserve">Las sentencias de la Corte Suprema (SC, SL, SP) del seed apuntan a la relatoría de la Corte Constitucional: hay que buscarlas en la de la Corte Suprema.</t>
  </si>
  <si>
    <t xml:space="preserve">Constitucional · 134 preguntas en el banco</t>
  </si>
  <si>
    <t xml:space="preserve">Estados: 'en seed' = viene en seed_targets.json · 'falta' = hay que agregarlo · 'por verificar' = confirmar número, año o URL antes de descargar.</t>
  </si>
  <si>
    <t xml:space="preserve">doc_id</t>
  </si>
  <si>
    <t xml:space="preserve">título</t>
  </si>
  <si>
    <t xml:space="preserve">tipo</t>
  </si>
  <si>
    <t xml:space="preserve">fuente</t>
  </si>
  <si>
    <t xml:space="preserve">URL</t>
  </si>
  <si>
    <t xml:space="preserve">estado</t>
  </si>
  <si>
    <t xml:space="preserve">prioridad</t>
  </si>
  <si>
    <t xml:space="preserve">justificación</t>
  </si>
  <si>
    <t xml:space="preserve">EN EL SEED (43 documentos)</t>
  </si>
  <si>
    <t xml:space="preserve">constitucion_1991</t>
  </si>
  <si>
    <t xml:space="preserve">Constitución Política de 1991</t>
  </si>
  <si>
    <t xml:space="preserve">constitución</t>
  </si>
  <si>
    <t xml:space="preserve">Secretaría del Senado</t>
  </si>
  <si>
    <t xml:space="preserve">http://www.secretariasenado.gov.co/senado/basedoc/constitucion_politica_1991.html?q=Constitucion</t>
  </si>
  <si>
    <t xml:space="preserve">en seed</t>
  </si>
  <si>
    <t xml:space="preserve">alta</t>
  </si>
  <si>
    <t xml:space="preserve">Norma más citada del banco. Jerarquía, existencia normativa, ponderación y conflicto normativo en todas las áreas. Citada en 90 ítem(s) del banco según el seed. En legal_basis de muestra (ids 51, 60, 218, 661, 1005, 1073).</t>
  </si>
  <si>
    <t xml:space="preserve">decreto_624_1989</t>
  </si>
  <si>
    <t xml:space="preserve">Estatuto Tributario (Decreto 624 de 1989)</t>
  </si>
  <si>
    <t xml:space="preserve">código</t>
  </si>
  <si>
    <t xml:space="preserve">http://www.secretariasenado.gov.co/senado/basedoc/?q=Estatuto%20tributario</t>
  </si>
  <si>
    <t xml:space="preserve">Definiciones, requisitos y vigencia temporal en tributario. Citada en 35 ítem(s) del banco según el seed.</t>
  </si>
  <si>
    <t xml:space="preserve">sentencia_c-355_2006</t>
  </si>
  <si>
    <t xml:space="preserve">Sentencia C-355 de 2006 · Corte Constitucional · despenalización parcial del aborto</t>
  </si>
  <si>
    <t xml:space="preserve">sentencia</t>
  </si>
  <si>
    <t xml:space="preserve">Relatoría Corte Constitucional</t>
  </si>
  <si>
    <t xml:space="preserve">https://www.corteconstitucional.gov.co/relatoria/?q=Sentencia%20C-355%20de%202006</t>
  </si>
  <si>
    <t xml:space="preserve">Citada en 7 ítem(s) del banco según el seed. En legal_basis de muestra (ids 1015).</t>
  </si>
  <si>
    <t xml:space="preserve">ley_1581_2012</t>
  </si>
  <si>
    <t xml:space="preserve">Ley 1581 de 2012 (protección de datos personales)</t>
  </si>
  <si>
    <t xml:space="preserve">ley</t>
  </si>
  <si>
    <t xml:space="preserve">SUIN-Juriscol</t>
  </si>
  <si>
    <t xml:space="preserve">https://www.suin-juriscol.gov.co/legislacion/?q=Ley%201581%20de%202012</t>
  </si>
  <si>
    <t xml:space="preserve">Citada en 6 ítem(s) del banco según el seed. En legal_basis de muestra (ids 679).</t>
  </si>
  <si>
    <t xml:space="preserve">decreto_2067_1991</t>
  </si>
  <si>
    <t xml:space="preserve">Decreto 2067 de 1991 (procedimiento ante la Corte Constitucional)</t>
  </si>
  <si>
    <t xml:space="preserve">decreto</t>
  </si>
  <si>
    <t xml:space="preserve">https://www.suin-juriscol.gov.co/legislacion/?q=Decreto%202067%20de%201991</t>
  </si>
  <si>
    <t xml:space="preserve">Citada en 1 ítem(s) del banco según el seed. En legal_basis de muestra (ids 352).</t>
  </si>
  <si>
    <t xml:space="preserve">sentencia_c-332_2025</t>
  </si>
  <si>
    <t xml:space="preserve">Sentencia C-332 de 2025 · Corte Constitucional</t>
  </si>
  <si>
    <t xml:space="preserve">https://www.corteconstitucional.gov.co/relatoria/?q=Sentencia%20C-332%20de%202025</t>
  </si>
  <si>
    <t xml:space="preserve">Citada en 1 ítem(s) del banco según el seed. En legal_basis de muestra (ids 453).</t>
  </si>
  <si>
    <t xml:space="preserve">sentencia_t-323_2024</t>
  </si>
  <si>
    <t xml:space="preserve">Sentencia T-323 de 2024 · Corte Constitucional</t>
  </si>
  <si>
    <t xml:space="preserve">https://www.corteconstitucional.gov.co/relatoria/?q=Sentencia%20T-323%20de%202024</t>
  </si>
  <si>
    <t xml:space="preserve">media</t>
  </si>
  <si>
    <t xml:space="preserve">Citada en 4 ítem(s) del banco según el seed.</t>
  </si>
  <si>
    <t xml:space="preserve">sentencia_c-055_2022</t>
  </si>
  <si>
    <t xml:space="preserve">Sentencia C-55 de 2022 · Corte Constitucional</t>
  </si>
  <si>
    <t xml:space="preserve">https://www.corteconstitucional.gov.co/relatoria/?q=Sentencia%20C-55%20de%202022</t>
  </si>
  <si>
    <t xml:space="preserve">Citada en 3 ítem(s) del banco según el seed.</t>
  </si>
  <si>
    <t xml:space="preserve">sentencia_c-394_2017</t>
  </si>
  <si>
    <t xml:space="preserve">Sentencia C-394 de 2017 · Corte Constitucional</t>
  </si>
  <si>
    <t xml:space="preserve">https://www.corteconstitucional.gov.co/relatoria/?q=Sentencia%20C-394%20de%202017</t>
  </si>
  <si>
    <t xml:space="preserve">sentencia_t-760_2008</t>
  </si>
  <si>
    <t xml:space="preserve">Sentencia T-760 de 2008 · Corte Constitucional · derecho fundamental a la salud</t>
  </si>
  <si>
    <t xml:space="preserve">https://www.corteconstitucional.gov.co/relatoria/?q=Sentencia%20T-760%20de%202008</t>
  </si>
  <si>
    <t xml:space="preserve">ley_1095_2006</t>
  </si>
  <si>
    <t xml:space="preserve">Ley 1095 de 2006 (hábeas corpus)</t>
  </si>
  <si>
    <t xml:space="preserve">https://www.suin-juriscol.gov.co/legislacion/?q=Ley%201095%20de%202006</t>
  </si>
  <si>
    <t xml:space="preserve">Citada en 2 ítem(s) del banco según el seed.</t>
  </si>
  <si>
    <t xml:space="preserve">ley_2141_2021</t>
  </si>
  <si>
    <t xml:space="preserve">Ley 2141 de 2021</t>
  </si>
  <si>
    <t xml:space="preserve">https://www.suin-juriscol.gov.co/legislacion/?q=Ley%202141%20de%202021</t>
  </si>
  <si>
    <t xml:space="preserve">sentencia_c-015_2018</t>
  </si>
  <si>
    <t xml:space="preserve">Sentencia C-15 de 2018 · Corte Constitucional</t>
  </si>
  <si>
    <t xml:space="preserve">https://www.corteconstitucional.gov.co/relatoria/?q=Sentencia%20C-15%20de%202018</t>
  </si>
  <si>
    <t xml:space="preserve">sentencia_c-094_2021</t>
  </si>
  <si>
    <t xml:space="preserve">Sentencia C-94 de 2021 · Corte Constitucional</t>
  </si>
  <si>
    <t xml:space="preserve">https://www.corteconstitucional.gov.co/relatoria/?q=Sentencia%20C-94%20de%202021</t>
  </si>
  <si>
    <t xml:space="preserve">sentencia_c-127_2011</t>
  </si>
  <si>
    <t xml:space="preserve">Sentencia C-127 de 2011 · Corte Constitucional</t>
  </si>
  <si>
    <t xml:space="preserve">https://www.corteconstitucional.gov.co/relatoria/?q=Sentencia%20C-127%20de%202011</t>
  </si>
  <si>
    <t xml:space="preserve">sentencia_c-134_2019</t>
  </si>
  <si>
    <t xml:space="preserve">Sentencia C-134 de 2019 · Corte Constitucional</t>
  </si>
  <si>
    <t xml:space="preserve">https://www.corteconstitucional.gov.co/relatoria/?q=Sentencia%20C-134%20de%202019</t>
  </si>
  <si>
    <t xml:space="preserve">sentencia_c-164_2022</t>
  </si>
  <si>
    <t xml:space="preserve">Sentencia C-164 de 2022 · Corte Constitucional</t>
  </si>
  <si>
    <t xml:space="preserve">https://www.corteconstitucional.gov.co/relatoria/?q=Sentencia%20C-164%20de%202022</t>
  </si>
  <si>
    <t xml:space="preserve">sentencia_c-431_2001</t>
  </si>
  <si>
    <t xml:space="preserve">Sentencia C-431 de 2001 · Corte Constitucional</t>
  </si>
  <si>
    <t xml:space="preserve">https://www.corteconstitucional.gov.co/relatoria/?q=Sentencia%20C-431%20de%202001</t>
  </si>
  <si>
    <t xml:space="preserve">sentencia_c-582_1999</t>
  </si>
  <si>
    <t xml:space="preserve">Sentencia C-582 de 1999 · Corte Constitucional</t>
  </si>
  <si>
    <t xml:space="preserve">https://www.corteconstitucional.gov.co/relatoria/?q=Sentencia%20C-582%20de%201999</t>
  </si>
  <si>
    <t xml:space="preserve">sentencia_c-746_2011</t>
  </si>
  <si>
    <t xml:space="preserve">Sentencia C-746 de 2011 · Corte Constitucional</t>
  </si>
  <si>
    <t xml:space="preserve">https://www.corteconstitucional.gov.co/relatoria/?q=Sentencia%20C-746%20de%202011</t>
  </si>
  <si>
    <t xml:space="preserve">sentencia_t-547_2017</t>
  </si>
  <si>
    <t xml:space="preserve">Sentencia T-547 de 2017 · Corte Constitucional</t>
  </si>
  <si>
    <t xml:space="preserve">https://www.corteconstitucional.gov.co/relatoria/?q=Sentencia%20T-547%20de%202017</t>
  </si>
  <si>
    <t xml:space="preserve">acuerdo_2_2015</t>
  </si>
  <si>
    <t xml:space="preserve">Acuerdo 02 de 2015</t>
  </si>
  <si>
    <t xml:space="preserve">acuerdo</t>
  </si>
  <si>
    <t xml:space="preserve">https://www.suin-juriscol.gov.co/legislacion/?q=Acuerdo%2002%20de%202015</t>
  </si>
  <si>
    <t xml:space="preserve">baja</t>
  </si>
  <si>
    <t xml:space="preserve">Citada en 1 ítem(s) del banco según el seed.</t>
  </si>
  <si>
    <t xml:space="preserve">ley_11500_2007</t>
  </si>
  <si>
    <t xml:space="preserve">Ley 11500 de 2007</t>
  </si>
  <si>
    <t xml:space="preserve">https://www.suin-juriscol.gov.co/legislacion/?q=Ley%2011500%20de%202007</t>
  </si>
  <si>
    <t xml:space="preserve">en seed · revisar</t>
  </si>
  <si>
    <t xml:space="preserve">Citada en 1 ítem(s) del banco según el seed. Probable error de digitación de la Ley 1150 de 2007 (ya en el seed); no buscar aparte.</t>
  </si>
  <si>
    <t xml:space="preserve">ley_1909_2018</t>
  </si>
  <si>
    <t xml:space="preserve">Ley 1909 de 2018 (Estatuto de la Oposición)</t>
  </si>
  <si>
    <t xml:space="preserve">https://www.suin-juriscol.gov.co/legislacion/?q=Ley%201909%20de%202018</t>
  </si>
  <si>
    <t xml:space="preserve">ley_23_1961</t>
  </si>
  <si>
    <t xml:space="preserve">Ley 23 de 1961</t>
  </si>
  <si>
    <t xml:space="preserve">https://www.suin-juriscol.gov.co/legislacion/?q=Ley%2023%20de%201961</t>
  </si>
  <si>
    <t xml:space="preserve">Citada en 1 ítem(s) del banco según el seed. Referencia por verificar: no se identifica una Ley 23 de 1961 relacionada con el banco.</t>
  </si>
  <si>
    <t xml:space="preserve">sentencia_c-022_1996</t>
  </si>
  <si>
    <t xml:space="preserve">Sentencia C-22 de 1996 · Corte Constitucional</t>
  </si>
  <si>
    <t xml:space="preserve">https://www.corteconstitucional.gov.co/relatoria/?q=Sentencia%20C-22%20de%201996</t>
  </si>
  <si>
    <t xml:space="preserve">sentencia_c-106_2018</t>
  </si>
  <si>
    <t xml:space="preserve">Sentencia C-106 de 2018 · Corte Constitucional</t>
  </si>
  <si>
    <t xml:space="preserve">https://www.corteconstitucional.gov.co/relatoria/?q=Sentencia%20C-106%20de%202018</t>
  </si>
  <si>
    <t xml:space="preserve">sentencia_c-145_2020</t>
  </si>
  <si>
    <t xml:space="preserve">Sentencia C-145 de 2020 · Corte Constitucional</t>
  </si>
  <si>
    <t xml:space="preserve">https://www.corteconstitucional.gov.co/relatoria/?q=Sentencia%20C-145%20de%202020</t>
  </si>
  <si>
    <t xml:space="preserve">sentencia_c-149_1993</t>
  </si>
  <si>
    <t xml:space="preserve">Sentencia C-149 de 1993 · Corte Constitucional</t>
  </si>
  <si>
    <t xml:space="preserve">https://www.corteconstitucional.gov.co/relatoria/?q=Sentencia%20C-149%20de%201993</t>
  </si>
  <si>
    <t xml:space="preserve">sentencia_c-225_1995</t>
  </si>
  <si>
    <t xml:space="preserve">Sentencia C-225 de 1995 · Corte Constitucional</t>
  </si>
  <si>
    <t xml:space="preserve">https://www.corteconstitucional.gov.co/relatoria/?q=Sentencia%20C-225%20de%201995</t>
  </si>
  <si>
    <t xml:space="preserve">sentencia_c-233_2021</t>
  </si>
  <si>
    <t xml:space="preserve">Sentencia C-233 de 2021 · Corte Constitucional</t>
  </si>
  <si>
    <t xml:space="preserve">https://www.corteconstitucional.gov.co/relatoria/?q=Sentencia%20C-233%20de%202021</t>
  </si>
  <si>
    <t xml:space="preserve">sentencia_c-239_1997</t>
  </si>
  <si>
    <t xml:space="preserve">Sentencia C-239 de 1997 · Corte Constitucional · homicidio por piedad</t>
  </si>
  <si>
    <t xml:space="preserve">https://www.corteconstitucional.gov.co/relatoria/?q=Sentencia%20C-239%20de%201997</t>
  </si>
  <si>
    <t xml:space="preserve">sentencia_c-459_2023</t>
  </si>
  <si>
    <t xml:space="preserve">Sentencia C-459 de 2023 · Corte Constitucional</t>
  </si>
  <si>
    <t xml:space="preserve">https://www.corteconstitucional.gov.co/relatoria/?q=Sentencia%20C-459%20de%202023</t>
  </si>
  <si>
    <t xml:space="preserve">sentencia_c-700_1999</t>
  </si>
  <si>
    <t xml:space="preserve">Sentencia C-700 de 1999 · Corte Constitucional</t>
  </si>
  <si>
    <t xml:space="preserve">https://www.corteconstitucional.gov.co/relatoria/?q=Sentencia%20C-700%20de%201999</t>
  </si>
  <si>
    <t xml:space="preserve">sentencia_t-067_2025</t>
  </si>
  <si>
    <t xml:space="preserve">Sentencia T-67 de 2025 · Corte Constitucional</t>
  </si>
  <si>
    <t xml:space="preserve">https://www.corteconstitucional.gov.co/relatoria/?q=Sentencia%20T-67%20de%202025</t>
  </si>
  <si>
    <t xml:space="preserve">sentencia_t-1001_2001</t>
  </si>
  <si>
    <t xml:space="preserve">Sentencia T-1001 de 2001 · Corte Constitucional</t>
  </si>
  <si>
    <t xml:space="preserve">https://www.corteconstitucional.gov.co/relatoria/?q=Sentencia%20T-1001%20de%202001</t>
  </si>
  <si>
    <t xml:space="preserve">sentencia_t-230_2023</t>
  </si>
  <si>
    <t xml:space="preserve">Sentencia T-230 de 2023 · Corte Constitucional</t>
  </si>
  <si>
    <t xml:space="preserve">https://www.corteconstitucional.gov.co/relatoria/?q=Sentencia%20T-230%20de%202023</t>
  </si>
  <si>
    <t xml:space="preserve">sentencia_t-262_2025</t>
  </si>
  <si>
    <t xml:space="preserve">Sentencia T-262 de 2025 · Corte Constitucional</t>
  </si>
  <si>
    <t xml:space="preserve">https://www.corteconstitucional.gov.co/relatoria/?q=Sentencia%20T-262%20de%202025</t>
  </si>
  <si>
    <t xml:space="preserve">sentencia_t-325_2025</t>
  </si>
  <si>
    <t xml:space="preserve">Sentencia T-325 de 2025 · Corte Constitucional</t>
  </si>
  <si>
    <t xml:space="preserve">https://www.corteconstitucional.gov.co/relatoria/?q=Sentencia%20T-325%20de%202025</t>
  </si>
  <si>
    <t xml:space="preserve">sentencia_t-429_2011</t>
  </si>
  <si>
    <t xml:space="preserve">Sentencia T-429 de 2011 · Corte Constitucional</t>
  </si>
  <si>
    <t xml:space="preserve">https://www.corteconstitucional.gov.co/relatoria/?q=Sentencia%20T-429%20de%202011</t>
  </si>
  <si>
    <t xml:space="preserve">sentencia_t-445_2024</t>
  </si>
  <si>
    <t xml:space="preserve">Sentencia T-445 de 2024 · Corte Constitucional</t>
  </si>
  <si>
    <t xml:space="preserve">https://www.corteconstitucional.gov.co/relatoria/?q=Sentencia%20T-445%20de%202024</t>
  </si>
  <si>
    <t xml:space="preserve">sentencia_t-925_2014</t>
  </si>
  <si>
    <t xml:space="preserve">Sentencia T-925 de 2014 · Corte Constitucional</t>
  </si>
  <si>
    <t xml:space="preserve">https://www.corteconstitucional.gov.co/relatoria/?q=Sentencia%20T-925%20de%202014</t>
  </si>
  <si>
    <t xml:space="preserve">sentencia_t-970_2014</t>
  </si>
  <si>
    <t xml:space="preserve">Sentencia T-970 de 2014 · Corte Constitucional</t>
  </si>
  <si>
    <t xml:space="preserve">https://www.corteconstitucional.gov.co/relatoria/?q=Sentencia%20T-970%20de%202014</t>
  </si>
  <si>
    <t xml:space="preserve">FALTAN · NORMAS BASE (3)</t>
  </si>
  <si>
    <t xml:space="preserve">decreto_2591_1991</t>
  </si>
  <si>
    <t xml:space="preserve">Acción de tutela (Decreto 2591 de 1991)</t>
  </si>
  <si>
    <t xml:space="preserve">http://www.secretariasenado.gov.co/senado/basedoc/decreto_2591_1991.html</t>
  </si>
  <si>
    <t xml:space="preserve">falta</t>
  </si>
  <si>
    <t xml:space="preserve">Norma base de la tutela: juez competente, requisitos, términos y efectos; sustento de la mayoría de sentencias T y SU del banco.</t>
  </si>
  <si>
    <t xml:space="preserve">ley_270_1996</t>
  </si>
  <si>
    <t xml:space="preserve">Ley Estatutaria de la Administración de Justicia (Ley 270 de 1996)</t>
  </si>
  <si>
    <t xml:space="preserve">http://www.secretariasenado.gov.co/senado/basedoc/ley_0270_1996.html</t>
  </si>
  <si>
    <t xml:space="preserve">Estructura de la Rama Judicial, jerarquía y competencias; sub-tareas autoridad competente y juez que decide.</t>
  </si>
  <si>
    <t xml:space="preserve">ley_472_1998</t>
  </si>
  <si>
    <t xml:space="preserve">Acciones populares y de grupo (Ley 472 de 1998)</t>
  </si>
  <si>
    <t xml:space="preserve">http://www.secretariasenado.gov.co/senado/basedoc/ley_0472_1998.html</t>
  </si>
  <si>
    <t xml:space="preserve">Citada en legal_basis de muestra (id 51). Acciones populares y derechos colectivos (art. 88 CP).</t>
  </si>
  <si>
    <t xml:space="preserve">FALTAN · NORMAS COMPLEMENTARIAS (8)</t>
  </si>
  <si>
    <t xml:space="preserve">decreto_333_2021</t>
  </si>
  <si>
    <t xml:space="preserve">Reglas de reparto de la acción de tutela (Decreto 333 de 2021)</t>
  </si>
  <si>
    <t xml:space="preserve">https://www.suin-juriscol.gov.co/legislacion/?q=Decreto%20333%20de%202021</t>
  </si>
  <si>
    <t xml:space="preserve">Juez que decide: reparto de tutelas por tipo de accionado.</t>
  </si>
  <si>
    <t xml:space="preserve">ley_134_1994</t>
  </si>
  <si>
    <t xml:space="preserve">Mecanismos de participación ciudadana (Ley 134 de 1994)</t>
  </si>
  <si>
    <t xml:space="preserve">http://www.secretariasenado.gov.co/senado/basedoc/ley_0134_1994.html</t>
  </si>
  <si>
    <t xml:space="preserve">Referendo, consulta, revocatoria; existencia normativa y requisitos.</t>
  </si>
  <si>
    <t xml:space="preserve">ley_1712_2014</t>
  </si>
  <si>
    <t xml:space="preserve">Transparencia y acceso a la información pública (Ley 1712 de 2014)</t>
  </si>
  <si>
    <t xml:space="preserve">http://www.secretariasenado.gov.co/senado/basedoc/ley_1712_2014.html</t>
  </si>
  <si>
    <t xml:space="preserve">Derecho de acceso a información; también administrativo.</t>
  </si>
  <si>
    <t xml:space="preserve">ley_1751_2015</t>
  </si>
  <si>
    <t xml:space="preserve">Estatutaria del derecho fundamental a la salud (Ley 1751 de 2015)</t>
  </si>
  <si>
    <t xml:space="preserve">http://www.secretariasenado.gov.co/senado/basedoc/ley_1751_2015.html</t>
  </si>
  <si>
    <t xml:space="preserve">Complementa la T-760 de 2008 (en el seed); tutela en salud.</t>
  </si>
  <si>
    <t xml:space="preserve">ley_1757_2015</t>
  </si>
  <si>
    <t xml:space="preserve">Estatutaria de participación democrática (Ley 1757 de 2015)</t>
  </si>
  <si>
    <t xml:space="preserve">http://www.secretariasenado.gov.co/senado/basedoc/ley_1757_2015.html</t>
  </si>
  <si>
    <t xml:space="preserve">Mecanismos de participación ciudadana; complementa la Ley 134 de 1994.</t>
  </si>
  <si>
    <t xml:space="preserve">ley_393_1997</t>
  </si>
  <si>
    <t xml:space="preserve">Acción de cumplimiento (Ley 393 de 1997)</t>
  </si>
  <si>
    <t xml:space="preserve">http://www.secretariasenado.gov.co/senado/basedoc/ley_0393_1997.html</t>
  </si>
  <si>
    <t xml:space="preserve">Mecanismo constitucional (art. 87 CP); existencia normativa y requisitos.</t>
  </si>
  <si>
    <t xml:space="preserve">ley_5_1992</t>
  </si>
  <si>
    <t xml:space="preserve">Reglamento del Congreso (Ley 5 de 1992)</t>
  </si>
  <si>
    <t xml:space="preserve">http://www.secretariasenado.gov.co/senado/basedoc/ley_0005_1992.html</t>
  </si>
  <si>
    <t xml:space="preserve">Trámite legislativo y vicios de procedimiento (p. ej., control de la reforma pensional).</t>
  </si>
  <si>
    <t xml:space="preserve">decreto_306_1992</t>
  </si>
  <si>
    <t xml:space="preserve">Reglamentario del Decreto 2591 de 1991 (Decreto 306 de 1992)</t>
  </si>
  <si>
    <t xml:space="preserve">https://www.suin-juriscol.gov.co/legislacion/?q=Decreto%20306%20de%201992</t>
  </si>
  <si>
    <t xml:space="preserve">Reglamentación de la tutela.</t>
  </si>
  <si>
    <t xml:space="preserve">FALTAN · JURISPRUDENCIA (12)</t>
  </si>
  <si>
    <t xml:space="preserve">sentencia_c-468_2024</t>
  </si>
  <si>
    <t xml:space="preserve">Sentencia C-468 de 2024 · citada en la muestra</t>
  </si>
  <si>
    <t xml:space="preserve">https://www.corteconstitucional.gov.co/relatoria/?q=Sentencia%20C-468%20de%202024</t>
  </si>
  <si>
    <t xml:space="preserve">Citada en legal_basis de muestra (id 453).</t>
  </si>
  <si>
    <t xml:space="preserve">sentencia_su-016_2020</t>
  </si>
  <si>
    <t xml:space="preserve">Sentencia SU-016 de 2020 · citada en la muestra</t>
  </si>
  <si>
    <t xml:space="preserve">https://www.corteconstitucional.gov.co/relatoria/?q=Sentencia%20SU-016%20de%202020</t>
  </si>
  <si>
    <t xml:space="preserve">Citada en legal_basis de muestra (id 453, como SU-016 de 2020).</t>
  </si>
  <si>
    <t xml:space="preserve">sentencia_t-256_2025</t>
  </si>
  <si>
    <t xml:space="preserve">Sentencia T-256 de 2025 · nombrada en la pregunta de muestra</t>
  </si>
  <si>
    <t xml:space="preserve">https://www.corteconstitucional.gov.co/relatoria/?q=Sentencia%20T-256%20de%202025</t>
  </si>
  <si>
    <t xml:space="preserve">Muestra id 190 (la pregunta la nombra; el legal_basis omite el año). Sub-tarea antecedentes fácticos.</t>
  </si>
  <si>
    <t xml:space="preserve">sentencia_c-093_2001</t>
  </si>
  <si>
    <t xml:space="preserve">Sentencia C-093 de 2001 · juicio integrado de igualdad</t>
  </si>
  <si>
    <t xml:space="preserve">https://www.corteconstitucional.gov.co/relatoria/?q=Sentencia%20C-093%20de%202001</t>
  </si>
  <si>
    <t xml:space="preserve">falta · por verificar</t>
  </si>
  <si>
    <t xml:space="preserve">Test de igualdad; ponderación.</t>
  </si>
  <si>
    <t xml:space="preserve">sentencia_c-141_2010</t>
  </si>
  <si>
    <t xml:space="preserve">Sentencia C-141 de 2010 · segunda reelección presidencial y sustitución</t>
  </si>
  <si>
    <t xml:space="preserve">https://www.corteconstitucional.gov.co/relatoria/?q=Sentencia%20C-141%20de%202010</t>
  </si>
  <si>
    <t xml:space="preserve">Juicio de sustitución; conflicto normativo.</t>
  </si>
  <si>
    <t xml:space="preserve">sentencia_c-551_2003</t>
  </si>
  <si>
    <t xml:space="preserve">Sentencia C-551 de 2003 · control del referendo y límites al poder de reforma</t>
  </si>
  <si>
    <t xml:space="preserve">https://www.corteconstitucional.gov.co/relatoria/?q=Sentencia%20C-551%20de%202003</t>
  </si>
  <si>
    <t xml:space="preserve">Juicio de sustitución de la Constitución.</t>
  </si>
  <si>
    <t xml:space="preserve">sentencia_c-590_2005</t>
  </si>
  <si>
    <t xml:space="preserve">Sentencia C-590 de 2005 · causales de procedencia de la tutela contra providencias judiciales</t>
  </si>
  <si>
    <t xml:space="preserve">https://www.corteconstitucional.gov.co/relatoria/?q=Sentencia%20C-590%20de%202005</t>
  </si>
  <si>
    <t xml:space="preserve">Hito: requisitos generales y especiales de la tutela contra sentencias; sub-tareas juez que decide y precedente.</t>
  </si>
  <si>
    <t xml:space="preserve">sentencia_c-836_2001</t>
  </si>
  <si>
    <t xml:space="preserve">Sentencia C-836 de 2001 · doctrina probable y valor del precedente</t>
  </si>
  <si>
    <t xml:space="preserve">https://www.corteconstitucional.gov.co/relatoria/?q=Sentencia%20C-836%20de%202001</t>
  </si>
  <si>
    <t xml:space="preserve">Sub-tarea precedente jurisprudencial.</t>
  </si>
  <si>
    <t xml:space="preserve">sentencia_su-047_1999</t>
  </si>
  <si>
    <t xml:space="preserve">Sentencia SU-047 de 1999 · ratio decidendi y obiter dicta</t>
  </si>
  <si>
    <t xml:space="preserve">https://www.corteconstitucional.gov.co/relatoria/?q=Sentencia%20SU-047%20de%201999</t>
  </si>
  <si>
    <t xml:space="preserve">sentencia_t-025_2004</t>
  </si>
  <si>
    <t xml:space="preserve">Sentencia T-025 de 2004 · estado de cosas inconstitucional (desplazamiento)</t>
  </si>
  <si>
    <t xml:space="preserve">https://www.corteconstitucional.gov.co/relatoria/?q=Sentencia%20T-025%20de%202004</t>
  </si>
  <si>
    <t xml:space="preserve">Hito; figura del estado de cosas inconstitucional.</t>
  </si>
  <si>
    <t xml:space="preserve">sentencia_t-406_1992</t>
  </si>
  <si>
    <t xml:space="preserve">Sentencia T-406 de 1992 · Estado social de derecho y aplicación directa de derechos</t>
  </si>
  <si>
    <t xml:space="preserve">https://www.corteconstitucional.gov.co/relatoria/?q=Sentencia%20T-406%20de%201992</t>
  </si>
  <si>
    <t xml:space="preserve">Hito fundacional; interpretación sistemática y ponderación.</t>
  </si>
  <si>
    <t xml:space="preserve">sentencia_t-881_2002</t>
  </si>
  <si>
    <t xml:space="preserve">Sentencia T-881 de 2002 · contenido del principio de dignidad humana</t>
  </si>
  <si>
    <t xml:space="preserve">https://www.corteconstitucional.gov.co/relatoria/?q=Sentencia%20T-881%20de%202002</t>
  </si>
  <si>
    <t xml:space="preserve">Ponderación de principios y derechos.</t>
  </si>
  <si>
    <t xml:space="preserve">legal_basis de muestra que el seed no cubre</t>
  </si>
  <si>
    <t xml:space="preserve">id pregunta</t>
  </si>
  <si>
    <t xml:space="preserve">legal_basis (texto original)</t>
  </si>
  <si>
    <t xml:space="preserve">norma no cubierta</t>
  </si>
  <si>
    <t xml:space="preserve">se cubre con (doc_id)</t>
  </si>
  <si>
    <t xml:space="preserve">Constitución Política, artículo 88; Ley 472 de 1998, artículos 3 y 46.</t>
  </si>
  <si>
    <t xml:space="preserve">Ley 472 de 1998</t>
  </si>
  <si>
    <t xml:space="preserve">sentencia t-256</t>
  </si>
  <si>
    <t xml:space="preserve">Sentencia T-256 (de 2025, según la pregunta) · El legal_basis omite el año.</t>
  </si>
  <si>
    <t xml:space="preserve">Sentencia C-468 de 2024, sentencia C-332 de 2025 y SU-016 de 2020</t>
  </si>
  <si>
    <t xml:space="preserve">Sentencia SU-16 de 2020</t>
  </si>
  <si>
    <t xml:space="preserve">Sentencia C-468 de 2024</t>
  </si>
  <si>
    <t xml:space="preserve">Administrativo · 124 preguntas en el banco</t>
  </si>
  <si>
    <t xml:space="preserve">EN EL SEED (18 documentos)</t>
  </si>
  <si>
    <t xml:space="preserve">ley_80_1993</t>
  </si>
  <si>
    <t xml:space="preserve">Ley 80 de 1993 (Estatuto General de Contratación)</t>
  </si>
  <si>
    <t xml:space="preserve">https://www.suin-juriscol.gov.co/legislacion/?q=Ley%2080%20de%201993</t>
  </si>
  <si>
    <t xml:space="preserve">Citada en 12 ítem(s) del banco según el seed.</t>
  </si>
  <si>
    <t xml:space="preserve">ley_1150_2007</t>
  </si>
  <si>
    <t xml:space="preserve">Ley 1150 de 2007 (reforma a la contratación estatal)</t>
  </si>
  <si>
    <t xml:space="preserve">https://www.suin-juriscol.gov.co/legislacion/?q=Ley%201150%20de%202007</t>
  </si>
  <si>
    <t xml:space="preserve">Citada en 3 ítem(s) del banco según el seed. En legal_basis de muestra (ids 290).</t>
  </si>
  <si>
    <t xml:space="preserve">decreto_1082_2015</t>
  </si>
  <si>
    <t xml:space="preserve">Decreto 1082 de 2015 (Decreto Único del sector Planeación (contratación))</t>
  </si>
  <si>
    <t xml:space="preserve">https://www.suin-juriscol.gov.co/legislacion/?q=Decreto%201082%20de%202015</t>
  </si>
  <si>
    <t xml:space="preserve">ley_1755_2015</t>
  </si>
  <si>
    <t xml:space="preserve">Ley 1755 de 2015 (derecho de petición)</t>
  </si>
  <si>
    <t xml:space="preserve">https://www.suin-juriscol.gov.co/legislacion/?q=Ley%201755%20de%202015</t>
  </si>
  <si>
    <t xml:space="preserve">ley_1952_2019</t>
  </si>
  <si>
    <t xml:space="preserve">Código General Disciplinario (Ley 1952 de 2019)</t>
  </si>
  <si>
    <t xml:space="preserve">http://www.secretariasenado.gov.co/senado/basedoc/?q=Codigo%20disciplinario</t>
  </si>
  <si>
    <t xml:space="preserve">Se asume el Código General Disciplinario vigente (Ley 1952 de 2019); confirmar versión. Citada en 1 ítem(s) del banco según el seed.</t>
  </si>
  <si>
    <t xml:space="preserve">sentencia_c-207_2019</t>
  </si>
  <si>
    <t xml:space="preserve">Sentencia C-207 de 2019 · Corte Constitucional</t>
  </si>
  <si>
    <t xml:space="preserve">https://www.corteconstitucional.gov.co/relatoria/?q=Sentencia%20C-207%20de%202019</t>
  </si>
  <si>
    <t xml:space="preserve">sentencia_c-259_2015</t>
  </si>
  <si>
    <t xml:space="preserve">Sentencia C-259 de 2015 · Corte Constitucional</t>
  </si>
  <si>
    <t xml:space="preserve">https://www.corteconstitucional.gov.co/relatoria/?q=Sentencia%20C-259%20de%202015</t>
  </si>
  <si>
    <t xml:space="preserve">sentencia_su-011_2020</t>
  </si>
  <si>
    <t xml:space="preserve">Sentencia SU-11 de 2020 · Corte Constitucional</t>
  </si>
  <si>
    <t xml:space="preserve">https://www.corteconstitucional.gov.co/relatoria/?q=Sentencia%20SU-11%20de%202020</t>
  </si>
  <si>
    <t xml:space="preserve">sentencia_su-240_2015</t>
  </si>
  <si>
    <t xml:space="preserve">Sentencia SU-240 de 2015 · Corte Constitucional</t>
  </si>
  <si>
    <t xml:space="preserve">https://www.corteconstitucional.gov.co/relatoria/?q=Sentencia%20SU-240%20de%202015</t>
  </si>
  <si>
    <t xml:space="preserve">sentencia_su-488_2011</t>
  </si>
  <si>
    <t xml:space="preserve">Sentencia SU-488 de 2011 · Corte Constitucional</t>
  </si>
  <si>
    <t xml:space="preserve">https://www.corteconstitucional.gov.co/relatoria/?q=Sentencia%20SU-488%20de%202011</t>
  </si>
  <si>
    <t xml:space="preserve">sentencia_su-566_2015</t>
  </si>
  <si>
    <t xml:space="preserve">Sentencia SU-566 de 2015 · Corte Constitucional</t>
  </si>
  <si>
    <t xml:space="preserve">https://www.corteconstitucional.gov.co/relatoria/?q=Sentencia%20SU-566%20de%202015</t>
  </si>
  <si>
    <t xml:space="preserve">ley_1150_2005</t>
  </si>
  <si>
    <t xml:space="preserve">Ley 1150 de 2005</t>
  </si>
  <si>
    <t xml:space="preserve">https://www.suin-juriscol.gov.co/legislacion/?q=Ley%201150%20de%202005</t>
  </si>
  <si>
    <t xml:space="preserve">Citada en 1 ítem(s) del banco según el seed. Probable error por la Ley 1150 de 2007 (ya en el seed).</t>
  </si>
  <si>
    <t xml:space="preserve">ley_1151_2007</t>
  </si>
  <si>
    <t xml:space="preserve">Ley 1151 de 2007 (Plan Nacional de Desarrollo 2006-2010)</t>
  </si>
  <si>
    <t xml:space="preserve">https://www.suin-juriscol.gov.co/legislacion/?q=Ley%201151%20de%202007</t>
  </si>
  <si>
    <t xml:space="preserve">ley_2160_2021</t>
  </si>
  <si>
    <t xml:space="preserve">Ley 2160 de 2021</t>
  </si>
  <si>
    <t xml:space="preserve">https://www.suin-juriscol.gov.co/legislacion/?q=Ley%202160%20de%202021</t>
  </si>
  <si>
    <t xml:space="preserve">sentencia_su-006_1991</t>
  </si>
  <si>
    <t xml:space="preserve">Sentencia SU-6 de 1991 · Corte Constitucional</t>
  </si>
  <si>
    <t xml:space="preserve">https://www.corteconstitucional.gov.co/relatoria/?q=Sentencia%20SU-6%20de%201991</t>
  </si>
  <si>
    <t xml:space="preserve">Citada en 1 ítem(s) del banco según el seed. La Corte Constitucional empezó a fallar en 1992: número o año por verificar.</t>
  </si>
  <si>
    <t xml:space="preserve">ley_1437_2011</t>
  </si>
  <si>
    <t xml:space="preserve">Código de Procedimiento Administrativo y de lo Contencioso Administrativo (CPACA, Ley 1437 de 2011)</t>
  </si>
  <si>
    <t xml:space="preserve">http://www.secretariasenado.gov.co/senado/basedoc/ley_1437_2011.html</t>
  </si>
  <si>
    <t xml:space="preserve">Citado en legal_basis de muestra (id 748). Procedimiento administrativo, medios de control y jurisdicción contenciosa.</t>
  </si>
  <si>
    <t xml:space="preserve">Citada en legal_basis de muestra (id 247).</t>
  </si>
  <si>
    <t xml:space="preserve">ley_489_1998</t>
  </si>
  <si>
    <t xml:space="preserve">Organización y funcionamiento de la administración pública (Ley 489 de 1998)</t>
  </si>
  <si>
    <t xml:space="preserve">http://www.secretariasenado.gov.co/senado/basedoc/ley_0489_1998.html</t>
  </si>
  <si>
    <t xml:space="preserve">Estructura del Estado, descentralización y delegación; autoridad competente.</t>
  </si>
  <si>
    <t xml:space="preserve">FALTAN · NORMAS COMPLEMENTARIAS (13)</t>
  </si>
  <si>
    <t xml:space="preserve">decreto_1083_2015</t>
  </si>
  <si>
    <t xml:space="preserve">Decreto Único Reglamentario del Sector Función Pública (Decreto 1083 de 2015)</t>
  </si>
  <si>
    <t xml:space="preserve">https://www.suin-juriscol.gov.co/legislacion/?q=Decreto%201083%20de%202015</t>
  </si>
  <si>
    <t xml:space="preserve">Reglamento de empleo público.</t>
  </si>
  <si>
    <t xml:space="preserve">ley_136_1994</t>
  </si>
  <si>
    <t xml:space="preserve">Organización y funcionamiento de los municipios (Ley 136 de 1994)</t>
  </si>
  <si>
    <t xml:space="preserve">http://www.secretariasenado.gov.co/senado/basedoc/ley_0136_1994.html</t>
  </si>
  <si>
    <t xml:space="preserve">Competencias municipales (muestra 218: arts. 311 y 313 CP).</t>
  </si>
  <si>
    <t xml:space="preserve">ley_1474_2011</t>
  </si>
  <si>
    <t xml:space="preserve">Estatuto Anticorrupción (Ley 1474 de 2011)</t>
  </si>
  <si>
    <t xml:space="preserve">http://www.secretariasenado.gov.co/senado/basedoc/ley_1474_2011.html</t>
  </si>
  <si>
    <t xml:space="preserve">Contratación, control y sanciones; también penal.</t>
  </si>
  <si>
    <t xml:space="preserve">ley_1882_2018</t>
  </si>
  <si>
    <t xml:space="preserve">Reforma a la contratación estatal (Ley 1882 de 2018)</t>
  </si>
  <si>
    <t xml:space="preserve">http://www.secretariasenado.gov.co/senado/basedoc/ley_1882_2018.html</t>
  </si>
  <si>
    <t xml:space="preserve">Complementa Ley 80 y Ley 1150 (en el seed).</t>
  </si>
  <si>
    <t xml:space="preserve">ley_2080_2021</t>
  </si>
  <si>
    <t xml:space="preserve">Reforma del CPACA (Ley 2080 de 2021)</t>
  </si>
  <si>
    <t xml:space="preserve">http://www.secretariasenado.gov.co/senado/basedoc/ley_2080_2021.html</t>
  </si>
  <si>
    <t xml:space="preserve">Vigencia temporal de las reformas al CPACA.</t>
  </si>
  <si>
    <t xml:space="preserve">ley_2094_2021</t>
  </si>
  <si>
    <t xml:space="preserve">Reforma del Código General Disciplinario (Ley 2094 de 2021)</t>
  </si>
  <si>
    <t xml:space="preserve">http://www.secretariasenado.gov.co/senado/basedoc/ley_2094_2021.html</t>
  </si>
  <si>
    <t xml:space="preserve">Complementa el Código Disciplinario del seed.</t>
  </si>
  <si>
    <t xml:space="preserve">ley_610_2000</t>
  </si>
  <si>
    <t xml:space="preserve">Proceso de responsabilidad fiscal (Ley 610 de 2000)</t>
  </si>
  <si>
    <t xml:space="preserve">http://www.secretariasenado.gov.co/senado/basedoc/ley_0610_2000.html</t>
  </si>
  <si>
    <t xml:space="preserve">Control fiscal; autoridad competente.</t>
  </si>
  <si>
    <t xml:space="preserve">ley_909_2004</t>
  </si>
  <si>
    <t xml:space="preserve">Empleo público y carrera administrativa (Ley 909 de 2004)</t>
  </si>
  <si>
    <t xml:space="preserve">http://www.secretariasenado.gov.co/senado/basedoc/ley_0909_2004.html</t>
  </si>
  <si>
    <t xml:space="preserve">Función pública; requisitos y clasificación de empleos.</t>
  </si>
  <si>
    <t xml:space="preserve">resolucion_368_2014</t>
  </si>
  <si>
    <t xml:space="preserve">Resolución 368 de 2014 del Ministerio de Ambiente y Desarrollo Sostenible</t>
  </si>
  <si>
    <t xml:space="preserve">resolución</t>
  </si>
  <si>
    <t xml:space="preserve">https://www.suin-juriscol.gov.co/legislacion/?q=Resoluci%C3%B3n%20368%20de%202014</t>
  </si>
  <si>
    <t xml:space="preserve">La pregunta de muestra 748 pide leerla antes de responder; confirmar fuente y texto.</t>
  </si>
  <si>
    <t xml:space="preserve">decreto_19_2012</t>
  </si>
  <si>
    <t xml:space="preserve">Decreto Ley Antitrámites (Decreto 19 de 2012)</t>
  </si>
  <si>
    <t xml:space="preserve">https://www.suin-juriscol.gov.co/legislacion/?q=Decreto%2019%20de%202012</t>
  </si>
  <si>
    <t xml:space="preserve">Simplificación de trámites.</t>
  </si>
  <si>
    <t xml:space="preserve">ley_1551_2012</t>
  </si>
  <si>
    <t xml:space="preserve">Modernización de los municipios (Ley 1551 de 2012)</t>
  </si>
  <si>
    <t xml:space="preserve">http://www.secretariasenado.gov.co/senado/basedoc/ley_1551_2012.html</t>
  </si>
  <si>
    <t xml:space="preserve">Modifica la Ley 136 de 1994.</t>
  </si>
  <si>
    <t xml:space="preserve">ley_2195_2022</t>
  </si>
  <si>
    <t xml:space="preserve">Transparencia, prevención y lucha contra la corrupción (Ley 2195 de 2022)</t>
  </si>
  <si>
    <t xml:space="preserve">http://www.secretariasenado.gov.co/senado/basedoc/ley_2195_2022.html</t>
  </si>
  <si>
    <t xml:space="preserve">Complementa el Estatuto Anticorrupción.</t>
  </si>
  <si>
    <t xml:space="preserve">ley_42_1993</t>
  </si>
  <si>
    <t xml:space="preserve">Control fiscal (Ley 42 de 1993)</t>
  </si>
  <si>
    <t xml:space="preserve">http://www.secretariasenado.gov.co/senado/basedoc/ley_0042_1993.html</t>
  </si>
  <si>
    <t xml:space="preserve">Organización del control fiscal.</t>
  </si>
  <si>
    <t xml:space="preserve">FALTAN · JURISPRUDENCIA (6)</t>
  </si>
  <si>
    <t xml:space="preserve">sentencia_su-277_2025</t>
  </si>
  <si>
    <t xml:space="preserve">Sentencia SU-277 de 2025 · citada en la muestra</t>
  </si>
  <si>
    <t xml:space="preserve">https://www.corteconstitucional.gov.co/relatoria/?q=Sentencia%20SU-277%20de%202025</t>
  </si>
  <si>
    <t xml:space="preserve">Citada en legal_basis de muestra (id 563, como SU-277/25).</t>
  </si>
  <si>
    <t xml:space="preserve">ce_unificacion_seccion3_por_verificar</t>
  </si>
  <si>
    <t xml:space="preserve">Sentencias de unificación del Consejo de Estado, Sección Tercera (responsabilidad del Estado)</t>
  </si>
  <si>
    <t xml:space="preserve">Relatoría Consejo de Estado</t>
  </si>
  <si>
    <t xml:space="preserve">https://www.consejodeestado.gov.co</t>
  </si>
  <si>
    <t xml:space="preserve">Reparación directa y títulos de imputación; identificar radicados con los compañeros de derecho.</t>
  </si>
  <si>
    <t xml:space="preserve">sentencia_c-634_2011</t>
  </si>
  <si>
    <t xml:space="preserve">Sentencia C-634 de 2011 · deber de las autoridades administrativas de seguir el precedente</t>
  </si>
  <si>
    <t xml:space="preserve">https://www.corteconstitucional.gov.co/relatoria/?q=Sentencia%20C-634%20de%202011</t>
  </si>
  <si>
    <t xml:space="preserve">Art. 10 CPACA; precedente jurisprudencial.</t>
  </si>
  <si>
    <t xml:space="preserve">sentencia_c-816_2011</t>
  </si>
  <si>
    <t xml:space="preserve">Sentencia C-816 de 2011 · extensión de la jurisprudencia del Consejo de Estado</t>
  </si>
  <si>
    <t xml:space="preserve">https://www.corteconstitucional.gov.co/relatoria/?q=Sentencia%20C-816%20de%202011</t>
  </si>
  <si>
    <t xml:space="preserve">Art. 102 CPACA.</t>
  </si>
  <si>
    <t xml:space="preserve">sentencia_c-818_2011</t>
  </si>
  <si>
    <t xml:space="preserve">Sentencia C-818 de 2011 · reserva de ley estatutaria del derecho de petición</t>
  </si>
  <si>
    <t xml:space="preserve">https://www.corteconstitucional.gov.co/relatoria/?q=Sentencia%20C-818%20de%202011</t>
  </si>
  <si>
    <t xml:space="preserve">Explica la Ley 1755 de 2015 (en el seed); vigencia temporal.</t>
  </si>
  <si>
    <t xml:space="preserve">sentencia_c-951_2014</t>
  </si>
  <si>
    <t xml:space="preserve">Sentencia C-951 de 2014 · control previo de la ley estatutaria de derecho de petición</t>
  </si>
  <si>
    <t xml:space="preserve">https://www.corteconstitucional.gov.co/relatoria/?q=Sentencia%20C-951%20de%202014</t>
  </si>
  <si>
    <t xml:space="preserve">Hito sobre el derecho de petición.</t>
  </si>
  <si>
    <t xml:space="preserve">CPACA</t>
  </si>
  <si>
    <t xml:space="preserve">ley 472 de 1998</t>
  </si>
  <si>
    <t xml:space="preserve">Sentencia SU-277/25</t>
  </si>
  <si>
    <t xml:space="preserve">Sentencia SU-277 de 2025</t>
  </si>
  <si>
    <t xml:space="preserve">Doctrina.</t>
  </si>
  <si>
    <t xml:space="preserve">'Doctrina.' (sin identificar) · No identificable: se responde con la norma que se recupere.</t>
  </si>
  <si>
    <t xml:space="preserve">—</t>
  </si>
  <si>
    <t xml:space="preserve">Penal · 123 preguntas en el banco</t>
  </si>
  <si>
    <t xml:space="preserve">ley_1564_2012</t>
  </si>
  <si>
    <t xml:space="preserve">Código General del Proceso (Ley 1564 de 2012)</t>
  </si>
  <si>
    <t xml:space="preserve">http://www.secretariasenado.gov.co/senado/basedoc/?q=Codigo%20general%20proceso</t>
  </si>
  <si>
    <t xml:space="preserve">Juez que decide, autoridad competente, requisitos y términos; transversal a civil, familia y comercial. Citada en 65 ítem(s) del banco según el seed. En legal_basis de muestra (ids 58, 60, 528, 589, 879).</t>
  </si>
  <si>
    <t xml:space="preserve">sentencia_sp-1680_2022</t>
  </si>
  <si>
    <t xml:space="preserve">Sentencia SP-1680 de 2022 · Corte Suprema, Sala Penal</t>
  </si>
  <si>
    <t xml:space="preserve">Relatoría Corte Suprema de Justicia</t>
  </si>
  <si>
    <t xml:space="preserve">https://www.corteconstitucional.gov.co/relatoria/?q=Sentencia%20SP-1680%20de%202022</t>
  </si>
  <si>
    <t xml:space="preserve">Citada en 2 ítem(s) del banco según el seed. El seed apunta a la relatoría de la Corte Constitucional; buscarla en la de la Corte Suprema.</t>
  </si>
  <si>
    <t xml:space="preserve">sentencia_sp-1945_2019</t>
  </si>
  <si>
    <t xml:space="preserve">Sentencia SP-1945 de 2019 · Corte Suprema, Sala Penal</t>
  </si>
  <si>
    <t xml:space="preserve">https://www.corteconstitucional.gov.co/relatoria/?q=Sentencia%20SP-1945%20de%202019</t>
  </si>
  <si>
    <t xml:space="preserve">sentencia_su-429_2024</t>
  </si>
  <si>
    <t xml:space="preserve">Sentencia SU-429 de 2024 · Corte Constitucional</t>
  </si>
  <si>
    <t xml:space="preserve">https://www.corteconstitucional.gov.co/relatoria/?q=Sentencia%20SU-429%20de%202024</t>
  </si>
  <si>
    <t xml:space="preserve">decreto_780_2016</t>
  </si>
  <si>
    <t xml:space="preserve">Decreto 780 de 2016 (Decreto Único del sector Salud)</t>
  </si>
  <si>
    <t xml:space="preserve">https://www.suin-juriscol.gov.co/legislacion/?q=Decreto%20780%20de%202016</t>
  </si>
  <si>
    <t xml:space="preserve">ley_600_2000</t>
  </si>
  <si>
    <t xml:space="preserve">Ley 600 de 2000 (Código de Procedimiento Penal anterior)</t>
  </si>
  <si>
    <t xml:space="preserve">https://www.suin-juriscol.gov.co/legislacion/?q=Ley%20600%20de%202000</t>
  </si>
  <si>
    <t xml:space="preserve">sentencia_c-1189_2000</t>
  </si>
  <si>
    <t xml:space="preserve">Sentencia C-1189 de 2000 · Corte Constitucional</t>
  </si>
  <si>
    <t xml:space="preserve">https://www.corteconstitucional.gov.co/relatoria/?q=Sentencia%20C-1189%20de%202000</t>
  </si>
  <si>
    <t xml:space="preserve">sentencia_c-335_2008</t>
  </si>
  <si>
    <t xml:space="preserve">Sentencia C-335 de 2008 · Corte Constitucional</t>
  </si>
  <si>
    <t xml:space="preserve">https://www.corteconstitucional.gov.co/relatoria/?q=Sentencia%20C-335%20de%202008</t>
  </si>
  <si>
    <t xml:space="preserve">sentencia_sp-1167_2022</t>
  </si>
  <si>
    <t xml:space="preserve">Sentencia SP-1167 de 2022 · Corte Suprema, Sala Penal</t>
  </si>
  <si>
    <t xml:space="preserve">https://www.corteconstitucional.gov.co/relatoria/?q=Sentencia%20SP-1167%20de%202022</t>
  </si>
  <si>
    <t xml:space="preserve">Citada en 1 ítem(s) del banco según el seed. El seed apunta a la relatoría de la Corte Constitucional; buscarla en la de la Corte Suprema.</t>
  </si>
  <si>
    <t xml:space="preserve">sentencia_sp-3218_2021</t>
  </si>
  <si>
    <t xml:space="preserve">Sentencia SP-3218 de 2021 · Corte Suprema, Sala Penal</t>
  </si>
  <si>
    <t xml:space="preserve">https://www.corteconstitucional.gov.co/relatoria/?q=Sentencia%20SP-3218%20de%202021</t>
  </si>
  <si>
    <t xml:space="preserve">sentencia_t-248_2025</t>
  </si>
  <si>
    <t xml:space="preserve">Sentencia T-248 de 2025 · Corte Constitucional</t>
  </si>
  <si>
    <t xml:space="preserve">https://www.corteconstitucional.gov.co/relatoria/?q=Sentencia%20T-248%20de%202025</t>
  </si>
  <si>
    <t xml:space="preserve">FALTAN · NORMAS BASE (2)</t>
  </si>
  <si>
    <t xml:space="preserve">ley_599_2000</t>
  </si>
  <si>
    <t xml:space="preserve">Código Penal (Ley 599 de 2000)</t>
  </si>
  <si>
    <t xml:space="preserve">http://www.secretariasenado.gov.co/senado/basedoc/ley_0599_2000.html</t>
  </si>
  <si>
    <t xml:space="preserve">Citado en legal_basis de muestra (ids 280, 600, 1065). Tipos penales, dosificación, subrogados.</t>
  </si>
  <si>
    <t xml:space="preserve">ley_906_2004</t>
  </si>
  <si>
    <t xml:space="preserve">Código de Procedimiento Penal (Ley 906 de 2004)</t>
  </si>
  <si>
    <t xml:space="preserve">http://www.secretariasenado.gov.co/senado/basedoc/ley_0906_2004.html</t>
  </si>
  <si>
    <t xml:space="preserve">Procedimiento acusatorio; juez que decide, postura procesal y requisitos.</t>
  </si>
  <si>
    <t xml:space="preserve">FALTAN · NORMAS COMPLEMENTARIAS (10)</t>
  </si>
  <si>
    <t xml:space="preserve">ley_1257_2008</t>
  </si>
  <si>
    <t xml:space="preserve">Violencia y discriminación contra la mujer (Ley 1257 de 2008)</t>
  </si>
  <si>
    <t xml:space="preserve">http://www.secretariasenado.gov.co/senado/basedoc/ley_1257_2008.html</t>
  </si>
  <si>
    <t xml:space="preserve">Violencia contra la mujer; también familia.</t>
  </si>
  <si>
    <t xml:space="preserve">ley_1453_2011</t>
  </si>
  <si>
    <t xml:space="preserve">Seguridad ciudadana (Ley 1453 de 2011)</t>
  </si>
  <si>
    <t xml:space="preserve">http://www.secretariasenado.gov.co/senado/basedoc/ley_1453_2011.html</t>
  </si>
  <si>
    <t xml:space="preserve">Reforma Código Penal y CPP.</t>
  </si>
  <si>
    <t xml:space="preserve">ley_1709_2014</t>
  </si>
  <si>
    <t xml:space="preserve">Reforma al Código Penitenciario (Ley 1709 de 2014)</t>
  </si>
  <si>
    <t xml:space="preserve">http://www.secretariasenado.gov.co/senado/basedoc/ley_1709_2014.html</t>
  </si>
  <si>
    <t xml:space="preserve">Subrogados penales y vigencia temporal.</t>
  </si>
  <si>
    <t xml:space="preserve">ley_1761_2015</t>
  </si>
  <si>
    <t xml:space="preserve">Tipo penal de feminicidio (Ley 1761 de 2015)</t>
  </si>
  <si>
    <t xml:space="preserve">http://www.secretariasenado.gov.co/senado/basedoc/ley_1761_2015.html</t>
  </si>
  <si>
    <t xml:space="preserve">Existencia normativa de tipos penales.</t>
  </si>
  <si>
    <t xml:space="preserve">ley_1826_2017</t>
  </si>
  <si>
    <t xml:space="preserve">Procedimiento penal abreviado y acusador privado (Ley 1826 de 2017)</t>
  </si>
  <si>
    <t xml:space="preserve">http://www.secretariasenado.gov.co/senado/basedoc/ley_1826_2017.html</t>
  </si>
  <si>
    <t xml:space="preserve">Postura procesal y procedimiento especial.</t>
  </si>
  <si>
    <t xml:space="preserve">ley_65_1993</t>
  </si>
  <si>
    <t xml:space="preserve">Código Penitenciario y Carcelario (Ley 65 de 1993)</t>
  </si>
  <si>
    <t xml:space="preserve">http://www.secretariasenado.gov.co/senado/basedoc/ley_0065_1993.html</t>
  </si>
  <si>
    <t xml:space="preserve">Ejecución de la pena; libertad condicional (muestra 280 junto al Código Penal).</t>
  </si>
  <si>
    <t xml:space="preserve">ley_1121_2006</t>
  </si>
  <si>
    <t xml:space="preserve">Financiación del terrorismo (Ley 1121 de 2006)</t>
  </si>
  <si>
    <t xml:space="preserve">http://www.secretariasenado.gov.co/senado/basedoc/ley_1121_2006.html</t>
  </si>
  <si>
    <t xml:space="preserve">Exclusión de beneficios; tipos especiales.</t>
  </si>
  <si>
    <t xml:space="preserve">ley_1273_2009</t>
  </si>
  <si>
    <t xml:space="preserve">Delitos informáticos (Ley 1273 de 2009)</t>
  </si>
  <si>
    <t xml:space="preserve">http://www.secretariasenado.gov.co/senado/basedoc/ley_1273_2009.html</t>
  </si>
  <si>
    <t xml:space="preserve">Tipos penales especiales.</t>
  </si>
  <si>
    <t xml:space="preserve">ley_2098_2021</t>
  </si>
  <si>
    <t xml:space="preserve">Prisión perpetua revisable (Ley 2098 de 2021)</t>
  </si>
  <si>
    <t xml:space="preserve">http://www.secretariasenado.gov.co/senado/basedoc/ley_2098_2021.html</t>
  </si>
  <si>
    <t xml:space="preserve">Declarada inexequible (C-294 de 2021): vigencia temporal.</t>
  </si>
  <si>
    <t xml:space="preserve">ley_2197_2022</t>
  </si>
  <si>
    <t xml:space="preserve">Seguridad ciudadana (Ley 2197 de 2022)</t>
  </si>
  <si>
    <t xml:space="preserve">http://www.secretariasenado.gov.co/senado/basedoc/ley_2197_2022.html</t>
  </si>
  <si>
    <t xml:space="preserve">Reformas recientes al Código Penal.</t>
  </si>
  <si>
    <t xml:space="preserve">FALTAN · JURISPRUDENCIA (4)</t>
  </si>
  <si>
    <t xml:space="preserve">csj_penal_hitos_por_verificar</t>
  </si>
  <si>
    <t xml:space="preserve">Sentencias hito de la Sala de Casación Penal (Corte Suprema)</t>
  </si>
  <si>
    <t xml:space="preserve">https://cortesuprema.gov.co</t>
  </si>
  <si>
    <t xml:space="preserve">El seed trae 4 SP; completar con hitos que indiquen los compañeros de derecho.</t>
  </si>
  <si>
    <t xml:space="preserve">sentencia_c-221_1994</t>
  </si>
  <si>
    <t xml:space="preserve">Sentencia C-221 de 1994 · dosis personal y libre desarrollo de la personalidad</t>
  </si>
  <si>
    <t xml:space="preserve">https://www.corteconstitucional.gov.co/relatoria/?q=Sentencia%20C-221%20de%201994</t>
  </si>
  <si>
    <t xml:space="preserve">Ponderación de principios; también constitucional.</t>
  </si>
  <si>
    <t xml:space="preserve">sentencia_c-294_2021</t>
  </si>
  <si>
    <t xml:space="preserve">Sentencia C-294 de 2021 · inexequibilidad de la prisión perpetua revisable</t>
  </si>
  <si>
    <t xml:space="preserve">https://www.corteconstitucional.gov.co/relatoria/?q=Sentencia%20C-294%20de%202021</t>
  </si>
  <si>
    <t xml:space="preserve">Vigencia y control de reformas constitucionales en materia penal.</t>
  </si>
  <si>
    <t xml:space="preserve">sentencia_c-591_2005</t>
  </si>
  <si>
    <t xml:space="preserve">Sentencia C-591 de 2005 · sistema penal acusatorio y cláusula de exclusión</t>
  </si>
  <si>
    <t xml:space="preserve">https://www.corteconstitucional.gov.co/relatoria/?q=Sentencia%20C-591%20de%202005</t>
  </si>
  <si>
    <t xml:space="preserve">Postura procesal en el CPP.</t>
  </si>
  <si>
    <t xml:space="preserve">Artículo 241 del Código Penal.</t>
  </si>
  <si>
    <t xml:space="preserve">Código Penal</t>
  </si>
  <si>
    <t xml:space="preserve">Artículo 64 del código penal colombiano</t>
  </si>
  <si>
    <t xml:space="preserve">Artículo 20 del Código Penal.</t>
  </si>
  <si>
    <t xml:space="preserve">Procesal · 111 preguntas en el banco</t>
  </si>
  <si>
    <t xml:space="preserve">EN EL SEED (10 documentos)</t>
  </si>
  <si>
    <t xml:space="preserve">ley_2220_2022</t>
  </si>
  <si>
    <t xml:space="preserve">Ley 2220 de 2022 (Estatuto de Conciliación)</t>
  </si>
  <si>
    <t xml:space="preserve">https://www.suin-juriscol.gov.co/legislacion/?q=Ley%202220%20de%202022</t>
  </si>
  <si>
    <t xml:space="preserve">Citada en 11 ítem(s) del banco según el seed.</t>
  </si>
  <si>
    <t xml:space="preserve">ley_1116_2006</t>
  </si>
  <si>
    <t xml:space="preserve">Ley 1116 de 2006 (régimen de insolvencia empresarial)</t>
  </si>
  <si>
    <t xml:space="preserve">https://www.suin-juriscol.gov.co/legislacion/?q=Ley%201116%20de%202006</t>
  </si>
  <si>
    <t xml:space="preserve">Citada en 7 ítem(s) del banco según el seed. En legal_basis de muestra (ids 272).</t>
  </si>
  <si>
    <t xml:space="preserve">ley_2437_2024</t>
  </si>
  <si>
    <t xml:space="preserve">Ley 2437 de 2024</t>
  </si>
  <si>
    <t xml:space="preserve">https://www.suin-juriscol.gov.co/legislacion/?q=Ley%202437%20de%202024</t>
  </si>
  <si>
    <t xml:space="preserve">sentencia_c-500_2024</t>
  </si>
  <si>
    <t xml:space="preserve">Sentencia C-500 de 2024 · Corte Constitucional</t>
  </si>
  <si>
    <t xml:space="preserve">https://www.corteconstitucional.gov.co/relatoria/?q=Sentencia%20C-500%20de%202024</t>
  </si>
  <si>
    <t xml:space="preserve">decreto_1563_2012</t>
  </si>
  <si>
    <t xml:space="preserve">Decreto 1563 de 2012</t>
  </si>
  <si>
    <t xml:space="preserve">https://www.suin-juriscol.gov.co/legislacion/?q=Decreto%201563%20de%202012</t>
  </si>
  <si>
    <t xml:space="preserve">Citada en 2 ítem(s) del banco según el seed. El Estatuto de Arbitraje es la Ley 1563 de 2012: buscar como ley (ver Procesal).</t>
  </si>
  <si>
    <t xml:space="preserve">ley_1801_2016</t>
  </si>
  <si>
    <t xml:space="preserve">Código Nacional de Seguridad y Convivencia Ciudadana (Ley 1801 de 2016)</t>
  </si>
  <si>
    <t xml:space="preserve">http://www.secretariasenado.gov.co/senado/basedoc/?q=Codigo%20nacional%20policia</t>
  </si>
  <si>
    <t xml:space="preserve">ley_678_2001</t>
  </si>
  <si>
    <t xml:space="preserve">Ley 678 de 2001 (acción de repetición)</t>
  </si>
  <si>
    <t xml:space="preserve">https://www.suin-juriscol.gov.co/legislacion/?q=Ley%20678%20de%202001</t>
  </si>
  <si>
    <t xml:space="preserve">FALTAN · NORMAS BASE (4)</t>
  </si>
  <si>
    <t xml:space="preserve">Citado en legal_basis de muestra (id 1089, art. 246). Procedimiento contencioso administrativo.</t>
  </si>
  <si>
    <t xml:space="preserve">ley_1563_2012</t>
  </si>
  <si>
    <t xml:space="preserve">Estatuto de Arbitraje Nacional e Internacional (Ley 1563 de 2012)</t>
  </si>
  <si>
    <t xml:space="preserve">http://www.secretariasenado.gov.co/senado/basedoc/ley_1563_2012.html</t>
  </si>
  <si>
    <t xml:space="preserve">El seed la lista como 'Decreto 1563 de 2012' (2 ítems); buscarla como ley.</t>
  </si>
  <si>
    <t xml:space="preserve">Competencias, jerarquía y funcionamiento de la Rama Judicial.</t>
  </si>
  <si>
    <t xml:space="preserve">Procedimiento penal; juez que decide y términos.</t>
  </si>
  <si>
    <t xml:space="preserve">FALTAN · NORMAS COMPLEMENTARIAS (4)</t>
  </si>
  <si>
    <t xml:space="preserve">decreto_2158_1948</t>
  </si>
  <si>
    <t xml:space="preserve">Código Procesal del Trabajo anterior (Decreto Ley 2158 de 1948)</t>
  </si>
  <si>
    <t xml:space="preserve">http://www.secretariasenado.gov.co/senado/basedoc/codigo_procedimental_laboral.html</t>
  </si>
  <si>
    <t xml:space="preserve">Procesos laborales iniciados antes del 6 de abril de 2026; el nuevo CPTSS (Ley 2452 de 2025) ya está en el seed.</t>
  </si>
  <si>
    <t xml:space="preserve">ley_2213_2022</t>
  </si>
  <si>
    <t xml:space="preserve">Uso de las TIC en actuaciones judiciales (Ley 2213 de 2022)</t>
  </si>
  <si>
    <t xml:space="preserve">http://www.secretariasenado.gov.co/senado/basedoc/ley_2213_2022.html</t>
  </si>
  <si>
    <t xml:space="preserve">Notificaciones y audiencias virtuales; vigencia temporal.</t>
  </si>
  <si>
    <t xml:space="preserve">decreto_806_2020</t>
  </si>
  <si>
    <t xml:space="preserve">Medidas de virtualidad en la justicia durante la emergencia (Decreto 806 de 2020)</t>
  </si>
  <si>
    <t xml:space="preserve">https://www.suin-juriscol.gov.co/legislacion/?q=Decreto%20806%20de%202020</t>
  </si>
  <si>
    <t xml:space="preserve">Antecedente de la Ley 2213 de 2022.</t>
  </si>
  <si>
    <t xml:space="preserve">ley_1285_2009</t>
  </si>
  <si>
    <t xml:space="preserve">Reforma a la Ley Estatutaria de la Administración de Justicia (Ley 1285 de 2009)</t>
  </si>
  <si>
    <t xml:space="preserve">http://www.secretariasenado.gov.co/senado/basedoc/ley_1285_2009.html</t>
  </si>
  <si>
    <t xml:space="preserve">Complementa la Ley 270 de 1996.</t>
  </si>
  <si>
    <t xml:space="preserve">FALTAN · JURISPRUDENCIA (3)</t>
  </si>
  <si>
    <t xml:space="preserve">sentencia_c-420_2020</t>
  </si>
  <si>
    <t xml:space="preserve">Sentencia C-420 de 2020 · control del Decreto 806 de 2020</t>
  </si>
  <si>
    <t xml:space="preserve">https://www.corteconstitucional.gov.co/relatoria/?q=Sentencia%20C-420%20de%202020</t>
  </si>
  <si>
    <t xml:space="preserve">Notificaciones y virtualidad.</t>
  </si>
  <si>
    <t xml:space="preserve">sentencia_c-543_1992</t>
  </si>
  <si>
    <t xml:space="preserve">Sentencia C-543 de 1992 · tutela contra providencias judiciales (primer pronunciamiento)</t>
  </si>
  <si>
    <t xml:space="preserve">https://www.corteconstitucional.gov.co/relatoria/?q=Sentencia%20C-543%20de%201992</t>
  </si>
  <si>
    <t xml:space="preserve">Evolución de la tutela contra sentencias.</t>
  </si>
  <si>
    <t xml:space="preserve">Artículo 246 del CPACA.</t>
  </si>
  <si>
    <t xml:space="preserve">Comercial · 104 preguntas en el banco</t>
  </si>
  <si>
    <t xml:space="preserve">EN EL SEED (20 documentos)</t>
  </si>
  <si>
    <t xml:space="preserve">decision_486_2000</t>
  </si>
  <si>
    <t xml:space="preserve">Decisión Andina 486 de 2000 (régimen común de propiedad industrial)</t>
  </si>
  <si>
    <t xml:space="preserve">decisión andina</t>
  </si>
  <si>
    <t xml:space="preserve">http://www.secretariasenado.gov.co/senado/basedoc/?q=Decision%20andina%20486</t>
  </si>
  <si>
    <t xml:space="preserve">Propiedad industrial: marcas, patentes, diseños. Citada en 23 ítem(s) del banco según el seed.</t>
  </si>
  <si>
    <t xml:space="preserve">ley_1258_2008</t>
  </si>
  <si>
    <t xml:space="preserve">Ley 1258 de 2008 (sociedad por acciones simplificada)</t>
  </si>
  <si>
    <t xml:space="preserve">https://www.suin-juriscol.gov.co/legislacion/?q=Ley%201258%20de%202008</t>
  </si>
  <si>
    <t xml:space="preserve">decreto_663_1993</t>
  </si>
  <si>
    <t xml:space="preserve">Decreto 663 de 1993 (Estatuto Orgánico del Sistema Financiero)</t>
  </si>
  <si>
    <t xml:space="preserve">https://www.suin-juriscol.gov.co/legislacion/?q=Decreto%20663%20de%201993</t>
  </si>
  <si>
    <t xml:space="preserve">Citada en 1 ítem(s) del banco según el seed. En legal_basis de muestra (ids 128).</t>
  </si>
  <si>
    <t xml:space="preserve">sentencia_c-145_2018</t>
  </si>
  <si>
    <t xml:space="preserve">Sentencia C-145 de 2018 · Corte Constitucional · potestades del acreedor garantizado en insolvencia</t>
  </si>
  <si>
    <t xml:space="preserve">https://www.corteconstitucional.gov.co/relatoria/?q=Sentencia%20C-145%20de%202018</t>
  </si>
  <si>
    <t xml:space="preserve">Citada en 1 ítem(s) del banco según el seed. En legal_basis de muestra (ids 140).</t>
  </si>
  <si>
    <t xml:space="preserve">decreto_24_2016</t>
  </si>
  <si>
    <t xml:space="preserve">Decreto 24 de 2016</t>
  </si>
  <si>
    <t xml:space="preserve">https://www.suin-juriscol.gov.co/legislacion/?q=Decreto%2024%20de%202016</t>
  </si>
  <si>
    <t xml:space="preserve">decreto_4334_2008</t>
  </si>
  <si>
    <t xml:space="preserve">Decreto 4334 de 2008</t>
  </si>
  <si>
    <t xml:space="preserve">https://www.suin-juriscol.gov.co/legislacion/?q=Decreto%204334%20de%202008</t>
  </si>
  <si>
    <t xml:space="preserve">decreto_46_2024</t>
  </si>
  <si>
    <t xml:space="preserve">Decreto 046 de 2024</t>
  </si>
  <si>
    <t xml:space="preserve">https://www.suin-juriscol.gov.co/legislacion/?q=Decreto%20046%20de%202024</t>
  </si>
  <si>
    <t xml:space="preserve">ley_1700_2013</t>
  </si>
  <si>
    <t xml:space="preserve">Ley 1700 de 2013 (actividades de comercialización en red)</t>
  </si>
  <si>
    <t xml:space="preserve">https://www.suin-juriscol.gov.co/legislacion/?q=Ley%201700%20de%202013</t>
  </si>
  <si>
    <t xml:space="preserve">ley_527_1999</t>
  </si>
  <si>
    <t xml:space="preserve">Ley 527 de 1999 (comercio electrónico)</t>
  </si>
  <si>
    <t xml:space="preserve">https://www.suin-juriscol.gov.co/legislacion/?q=Ley%20527%20de%201999</t>
  </si>
  <si>
    <t xml:space="preserve">ley_820_2003</t>
  </si>
  <si>
    <t xml:space="preserve">Ley 820 de 2003 (arrendamiento de vivienda urbana)</t>
  </si>
  <si>
    <t xml:space="preserve">https://www.suin-juriscol.gov.co/legislacion/?q=Ley%20820%20de%202003</t>
  </si>
  <si>
    <t xml:space="preserve">ley_964_2006</t>
  </si>
  <si>
    <t xml:space="preserve">Ley 964 de 2006</t>
  </si>
  <si>
    <t xml:space="preserve">https://www.suin-juriscol.gov.co/legislacion/?q=Ley%20964%20de%202006</t>
  </si>
  <si>
    <t xml:space="preserve">Citada en 1 ítem(s) del banco según el seed. La ley de mercado de valores es la Ley 964 de 2005: verificar el año.</t>
  </si>
  <si>
    <t xml:space="preserve">sentencia_c-276_2025</t>
  </si>
  <si>
    <t xml:space="preserve">Sentencia C-276 de 2025 · Corte Constitucional</t>
  </si>
  <si>
    <t xml:space="preserve">https://www.corteconstitucional.gov.co/relatoria/?q=Sentencia%20C-276%20de%202025</t>
  </si>
  <si>
    <t xml:space="preserve">sentencia_c-486_1993</t>
  </si>
  <si>
    <t xml:space="preserve">Sentencia C-486 de 1993 · Corte Constitucional</t>
  </si>
  <si>
    <t xml:space="preserve">https://www.corteconstitucional.gov.co/relatoria/?q=Sentencia%20C-486%20de%201993</t>
  </si>
  <si>
    <t xml:space="preserve">sentencia_sc-18392_2017</t>
  </si>
  <si>
    <t xml:space="preserve">Sentencia SC-18392 de 2017 · Corte Suprema, Sala Civil</t>
  </si>
  <si>
    <t xml:space="preserve">https://www.corteconstitucional.gov.co/relatoria/?q=Sentencia%20SC-18392%20de%202017</t>
  </si>
  <si>
    <t xml:space="preserve">sentencia_sc-3674_2021</t>
  </si>
  <si>
    <t xml:space="preserve">Sentencia SC-3674 de 2021 · Corte Suprema, Sala Civil</t>
  </si>
  <si>
    <t xml:space="preserve">https://www.corteconstitucional.gov.co/relatoria/?q=Sentencia%20SC-3674%20de%202021</t>
  </si>
  <si>
    <t xml:space="preserve">sentencia_sc-425_2024</t>
  </si>
  <si>
    <t xml:space="preserve">Sentencia SC-425 de 2024 · Corte Suprema, Sala Civil</t>
  </si>
  <si>
    <t xml:space="preserve">https://www.corteconstitucional.gov.co/relatoria/?q=Sentencia%20SC-425%20de%202024</t>
  </si>
  <si>
    <t xml:space="preserve">sentencia_sc-8453_2016</t>
  </si>
  <si>
    <t xml:space="preserve">Sentencia SC-8453 de 2016 · Corte Suprema, Sala Civil</t>
  </si>
  <si>
    <t xml:space="preserve">https://www.corteconstitucional.gov.co/relatoria/?q=Sentencia%20SC-8453%20de%202016</t>
  </si>
  <si>
    <t xml:space="preserve">decreto_410_1971</t>
  </si>
  <si>
    <t xml:space="preserve">Código de Comercio (Decreto 410 de 1971)</t>
  </si>
  <si>
    <t xml:space="preserve">http://www.secretariasenado.gov.co/senado/basedoc/codigo_comercio.html</t>
  </si>
  <si>
    <t xml:space="preserve">Citado en legal_basis de muestra (id 239: arts. 1324, 1325, 822 y 871). Contratos mercantiles, sociedades, títulos valores.</t>
  </si>
  <si>
    <t xml:space="preserve">ley_222_1995</t>
  </si>
  <si>
    <t xml:space="preserve">Régimen de sociedades (Ley 222 de 1995)</t>
  </si>
  <si>
    <t xml:space="preserve">http://www.secretariasenado.gov.co/senado/basedoc/ley_0222_1995.html</t>
  </si>
  <si>
    <t xml:space="preserve">Reforma al Libro II del Código de Comercio; sociedades y responsabilidad de administradores.</t>
  </si>
  <si>
    <t xml:space="preserve">FALTAN · NORMAS COMPLEMENTARIAS (7)</t>
  </si>
  <si>
    <t xml:space="preserve">decreto_1074_2015</t>
  </si>
  <si>
    <t xml:space="preserve">Decreto Único Reglamentario del Sector Comercio, Industria y Turismo (Decreto 1074 de 2015)</t>
  </si>
  <si>
    <t xml:space="preserve">https://www.suin-juriscol.gov.co/legislacion/?q=Decreto%201074%20de%202015</t>
  </si>
  <si>
    <t xml:space="preserve">Reglamentos de sociedades, registro mercantil y consumidor.</t>
  </si>
  <si>
    <t xml:space="preserve">ley_1328_2009</t>
  </si>
  <si>
    <t xml:space="preserve">Protección al consumidor financiero (Ley 1328 de 2009)</t>
  </si>
  <si>
    <t xml:space="preserve">http://www.secretariasenado.gov.co/senado/basedoc/ley_1328_2009.html</t>
  </si>
  <si>
    <t xml:space="preserve">Relaciones con entidades financieras; también mercados.</t>
  </si>
  <si>
    <t xml:space="preserve">ley_1676_2013</t>
  </si>
  <si>
    <t xml:space="preserve">Garantías mobiliarias (Ley 1676 de 2013)</t>
  </si>
  <si>
    <t xml:space="preserve">http://www.secretariasenado.gov.co/senado/basedoc/ley_1676_2013.html</t>
  </si>
  <si>
    <t xml:space="preserve">Garantías mobiliarias; contexto de la C-145 de 2018 (en el seed, muestra 140).</t>
  </si>
  <si>
    <t xml:space="preserve">decreto_2555_2010</t>
  </si>
  <si>
    <t xml:space="preserve">Decreto Único del mercado de valores (Decreto 2555 de 2010)</t>
  </si>
  <si>
    <t xml:space="preserve">https://www.suin-juriscol.gov.co/legislacion/?q=Decreto%202555%20de%202010</t>
  </si>
  <si>
    <t xml:space="preserve">Mercado de valores; complementa la Ley 964 del seed.</t>
  </si>
  <si>
    <t xml:space="preserve">ley_1231_2008</t>
  </si>
  <si>
    <t xml:space="preserve">Factura electrónica como título valor (Ley 1231 de 2008)</t>
  </si>
  <si>
    <t xml:space="preserve">http://www.secretariasenado.gov.co/senado/basedoc/ley_1231_2008.html</t>
  </si>
  <si>
    <t xml:space="preserve">Títulos valores.</t>
  </si>
  <si>
    <t xml:space="preserve">ley_1429_2010</t>
  </si>
  <si>
    <t xml:space="preserve">Formalización y generación de empleo (Ley 1429 de 2010)</t>
  </si>
  <si>
    <t xml:space="preserve">http://www.secretariasenado.gov.co/senado/basedoc/ley_1429_2010.html</t>
  </si>
  <si>
    <t xml:space="preserve">Aspectos societarios y de registro.</t>
  </si>
  <si>
    <t xml:space="preserve">ley_2069_2020</t>
  </si>
  <si>
    <t xml:space="preserve">Emprendimiento (Ley 2069 de 2020)</t>
  </si>
  <si>
    <t xml:space="preserve">http://www.secretariasenado.gov.co/senado/basedoc/ley_2069_2020.html</t>
  </si>
  <si>
    <t xml:space="preserve">Sociedades BIC y régimen empresarial reciente.</t>
  </si>
  <si>
    <t xml:space="preserve">FALTAN · JURISPRUDENCIA (2)</t>
  </si>
  <si>
    <t xml:space="preserve">sentencia_csj_civil_cesantia_comercial_por_verificar</t>
  </si>
  <si>
    <t xml:space="preserve">Sentencia de la Sala Civil de la Corte Suprema sobre renuncia a la cesantía comercial del agente (muestra 239)</t>
  </si>
  <si>
    <t xml:space="preserve">Muestra id 239 (la pregunta la describe pero no da número); identificar radicado.</t>
  </si>
  <si>
    <t xml:space="preserve">auto_supersociedades_2025-01-730337</t>
  </si>
  <si>
    <t xml:space="preserve">Auto 2025-01-730337 de la Superintendencia de Sociedades (muestra 272)</t>
  </si>
  <si>
    <t xml:space="preserve">auto</t>
  </si>
  <si>
    <t xml:space="preserve">Superintendencia de Sociedades (fuera de la lista de fuentes)</t>
  </si>
  <si>
    <t xml:space="preserve">https://www.supersociedades.gov.co</t>
  </si>
  <si>
    <t xml:space="preserve">Muestra id 272. La Superintendencia no está en la lista de fuentes permitidas: consultar a los organizadores antes de incluirla.</t>
  </si>
  <si>
    <t xml:space="preserve">Ley 1116 de 2006 y jurisprudencia de la superintendencia de sociedades en especial el auto auto No. 2025-01-730337</t>
  </si>
  <si>
    <t xml:space="preserve">Auto 2025-01-730337 de la Superintendencia de Sociedades · Fuente fuera de la lista permitida: consultar a los organizadores.</t>
  </si>
  <si>
    <t xml:space="preserve">Artículos 1324 y 1325 del Código de Comercio. Así como en los principios de autonomía de la voluntad privada (Artículos 16, 822 y 871).</t>
  </si>
  <si>
    <t xml:space="preserve">Código de Comercio</t>
  </si>
  <si>
    <t xml:space="preserve">Sentencia CSJ sobre cesantía comercial · La pregunta la describe sin número: por verificar.</t>
  </si>
  <si>
    <t xml:space="preserve">caso francés de Dow Chemical</t>
  </si>
  <si>
    <t xml:space="preserve">'Caso francés de Dow Chemical' · Doctrina arbitral extranjera: no cubrible con fuentes admitidas.</t>
  </si>
  <si>
    <t xml:space="preserve">Civil · 102 preguntas en el banco</t>
  </si>
  <si>
    <t xml:space="preserve">EN EL SEED (24 documentos)</t>
  </si>
  <si>
    <t xml:space="preserve">ley_1480_2011</t>
  </si>
  <si>
    <t xml:space="preserve">Estatuto del Consumidor (Ley 1480 de 2011)</t>
  </si>
  <si>
    <t xml:space="preserve">http://www.secretariasenado.gov.co/senado/basedoc/?q=Estatuto%20consumidor</t>
  </si>
  <si>
    <t xml:space="preserve">Consumidor y funciones jurisdiccionales de la SIC. Citada en 13 ítem(s) del banco según el seed. En legal_basis de muestra (ids 58, 674).</t>
  </si>
  <si>
    <t xml:space="preserve">ley_153_1887</t>
  </si>
  <si>
    <t xml:space="preserve">Ley 153 de 1887 (reglas de interpretación y aplicación de las leyes)</t>
  </si>
  <si>
    <t xml:space="preserve">https://www.suin-juriscol.gov.co/legislacion/?q=Ley%20153%20de%201887</t>
  </si>
  <si>
    <t xml:space="preserve">sentencia_su-455_2020</t>
  </si>
  <si>
    <t xml:space="preserve">Sentencia SU-455 de 2020 · Corte Constitucional</t>
  </si>
  <si>
    <t xml:space="preserve">https://www.corteconstitucional.gov.co/relatoria/?q=Sentencia%20SU-455%20de%202020</t>
  </si>
  <si>
    <t xml:space="preserve">Citada en 1 ítem(s) del banco según el seed. En legal_basis de muestra (ids 919).</t>
  </si>
  <si>
    <t xml:space="preserve">sentencia_su-315_2025</t>
  </si>
  <si>
    <t xml:space="preserve">Sentencia SU-315 de 2025 · Corte Constitucional</t>
  </si>
  <si>
    <t xml:space="preserve">https://www.corteconstitucional.gov.co/relatoria/?q=Sentencia%20SU-315%20de%202025</t>
  </si>
  <si>
    <t xml:space="preserve">sentencia_c-748_2011</t>
  </si>
  <si>
    <t xml:space="preserve">Sentencia C-748 de 2011 · Corte Constitucional · control de la ley de datos personales</t>
  </si>
  <si>
    <t xml:space="preserve">https://www.corteconstitucional.gov.co/relatoria/?q=Sentencia%20C-748%20de%202011</t>
  </si>
  <si>
    <t xml:space="preserve">sentencia_su-138_2024</t>
  </si>
  <si>
    <t xml:space="preserve">Sentencia SU-138 de 2024 · Corte Constitucional</t>
  </si>
  <si>
    <t xml:space="preserve">https://www.corteconstitucional.gov.co/relatoria/?q=Sentencia%20SU-138%20de%202024</t>
  </si>
  <si>
    <t xml:space="preserve">sentencia_su-207_2022</t>
  </si>
  <si>
    <t xml:space="preserve">Sentencia SU-207 de 2022 · Corte Constitucional</t>
  </si>
  <si>
    <t xml:space="preserve">https://www.corteconstitucional.gov.co/relatoria/?q=Sentencia%20SU-207%20de%202022</t>
  </si>
  <si>
    <t xml:space="preserve">sentencia_su-380_2021</t>
  </si>
  <si>
    <t xml:space="preserve">Sentencia SU-380 de 2021 · Corte Constitucional</t>
  </si>
  <si>
    <t xml:space="preserve">https://www.corteconstitucional.gov.co/relatoria/?q=Sentencia%20SU-380%20de%202021</t>
  </si>
  <si>
    <t xml:space="preserve">sentencia_su-425_2025</t>
  </si>
  <si>
    <t xml:space="preserve">Sentencia SU-425 de 2025 · Corte Constitucional</t>
  </si>
  <si>
    <t xml:space="preserve">https://www.corteconstitucional.gov.co/relatoria/?q=Sentencia%20SU-425%20de%202025</t>
  </si>
  <si>
    <t xml:space="preserve">sentencia_su-431_2015</t>
  </si>
  <si>
    <t xml:space="preserve">Sentencia SU-431 de 2015 · Corte Constitucional</t>
  </si>
  <si>
    <t xml:space="preserve">https://www.corteconstitucional.gov.co/relatoria/?q=Sentencia%20SU-431%20de%202015</t>
  </si>
  <si>
    <t xml:space="preserve">sentencia_su-500_2015</t>
  </si>
  <si>
    <t xml:space="preserve">Sentencia SU-500 de 2015 · Corte Constitucional</t>
  </si>
  <si>
    <t xml:space="preserve">https://www.corteconstitucional.gov.co/relatoria/?q=Sentencia%20SU-500%20de%202015</t>
  </si>
  <si>
    <t xml:space="preserve">decreto_960_1970</t>
  </si>
  <si>
    <t xml:space="preserve">Decreto 960 de 1970 (Estatuto Notarial)</t>
  </si>
  <si>
    <t xml:space="preserve">https://www.suin-juriscol.gov.co/legislacion/?q=Decreto%20960%20de%201970</t>
  </si>
  <si>
    <t xml:space="preserve">ley_160_1994</t>
  </si>
  <si>
    <t xml:space="preserve">Ley 160 de 1994 (reforma agraria)</t>
  </si>
  <si>
    <t xml:space="preserve">https://www.suin-juriscol.gov.co/legislacion/?q=Ley%20160%20de%201994</t>
  </si>
  <si>
    <t xml:space="preserve">ley_2251_2022</t>
  </si>
  <si>
    <t xml:space="preserve">Ley 2251 de 2022</t>
  </si>
  <si>
    <t xml:space="preserve">https://www.suin-juriscol.gov.co/legislacion/?q=Ley%202251%20de%202022</t>
  </si>
  <si>
    <t xml:space="preserve">ley_769_2002</t>
  </si>
  <si>
    <t xml:space="preserve">Ley 769 de 2002 (Código Nacional de Tránsito)</t>
  </si>
  <si>
    <t xml:space="preserve">https://www.suin-juriscol.gov.co/legislacion/?q=Ley%20769%20de%202002</t>
  </si>
  <si>
    <t xml:space="preserve">sentencia_c-183_2025</t>
  </si>
  <si>
    <t xml:space="preserve">Sentencia C-183 de 2025 · Corte Constitucional</t>
  </si>
  <si>
    <t xml:space="preserve">https://www.corteconstitucional.gov.co/relatoria/?q=Sentencia%20C-183%20de%202025</t>
  </si>
  <si>
    <t xml:space="preserve">sentencia_c-345_2017</t>
  </si>
  <si>
    <t xml:space="preserve">Sentencia C-345 de 2017 · Corte Constitucional</t>
  </si>
  <si>
    <t xml:space="preserve">https://www.corteconstitucional.gov.co/relatoria/?q=Sentencia%20C-345%20de%202017</t>
  </si>
  <si>
    <t xml:space="preserve">sentencia_sc-1121_2018</t>
  </si>
  <si>
    <t xml:space="preserve">Sentencia SC-1121 de 2018 · Corte Suprema, Sala Civil</t>
  </si>
  <si>
    <t xml:space="preserve">https://www.corteconstitucional.gov.co/relatoria/?q=Sentencia%20SC-1121%20de%202018</t>
  </si>
  <si>
    <t xml:space="preserve">sentencia_t-004_2026</t>
  </si>
  <si>
    <t xml:space="preserve">Sentencia T-4 de 2026 · Corte Constitucional</t>
  </si>
  <si>
    <t xml:space="preserve">https://www.corteconstitucional.gov.co/relatoria/?q=Sentencia%20T-4%20de%202026</t>
  </si>
  <si>
    <t xml:space="preserve">sentencia_t-026_2025</t>
  </si>
  <si>
    <t xml:space="preserve">Sentencia T-26 de 2025 · Corte Constitucional</t>
  </si>
  <si>
    <t xml:space="preserve">https://www.corteconstitucional.gov.co/relatoria/?q=Sentencia%20T-26%20de%202025</t>
  </si>
  <si>
    <t xml:space="preserve">FALTAN · NORMAS BASE (1)</t>
  </si>
  <si>
    <t xml:space="preserve">ley_84_1873</t>
  </si>
  <si>
    <t xml:space="preserve">Código Civil (Ley 84 de 1873, adoptado por la Ley 57 de 1887)</t>
  </si>
  <si>
    <t xml:space="preserve">http://www.secretariasenado.gov.co/senado/basedoc/codigo_civil.html</t>
  </si>
  <si>
    <t xml:space="preserve">Citado en legal_basis de muestra (id 358, art. 946). Obligaciones, contratos, bienes, sucesiones; muestra 24 (elementos del contrato).</t>
  </si>
  <si>
    <t xml:space="preserve">Garantías sobre bienes muebles.</t>
  </si>
  <si>
    <t xml:space="preserve">ley_1996_2019</t>
  </si>
  <si>
    <t xml:space="preserve">Capacidad legal de personas con discapacidad (Ley 1996 de 2019)</t>
  </si>
  <si>
    <t xml:space="preserve">http://www.secretariasenado.gov.co/senado/basedoc/ley_1996_2019.html</t>
  </si>
  <si>
    <t xml:space="preserve">Capacidad legal y apoyos; modifica el Código Civil (vigencia temporal).</t>
  </si>
  <si>
    <t xml:space="preserve">ley_675_2001</t>
  </si>
  <si>
    <t xml:space="preserve">Régimen de propiedad horizontal (Ley 675 de 2001)</t>
  </si>
  <si>
    <t xml:space="preserve">http://www.secretariasenado.gov.co/senado/basedoc/ley_0675_2001.html</t>
  </si>
  <si>
    <t xml:space="preserve">Bienes y propiedad; definiciones y requisitos.</t>
  </si>
  <si>
    <t xml:space="preserve">ley_791_2002</t>
  </si>
  <si>
    <t xml:space="preserve">Reducción de términos de prescripción (Ley 791 de 2002)</t>
  </si>
  <si>
    <t xml:space="preserve">http://www.secretariasenado.gov.co/senado/basedoc/ley_0791_2002.html</t>
  </si>
  <si>
    <t xml:space="preserve">Prescripción adquisitiva y extintiva; vigencia temporal.</t>
  </si>
  <si>
    <t xml:space="preserve">ley_1561_2012</t>
  </si>
  <si>
    <t xml:space="preserve">Titulación de la posesión (Ley 1561 de 2012)</t>
  </si>
  <si>
    <t xml:space="preserve">http://www.secretariasenado.gov.co/senado/basedoc/ley_1561_2012.html</t>
  </si>
  <si>
    <t xml:space="preserve">Proceso verbal especial de titulación.</t>
  </si>
  <si>
    <t xml:space="preserve">ley_1579_2012</t>
  </si>
  <si>
    <t xml:space="preserve">Estatuto de Registro de Instrumentos Públicos (Ley 1579 de 2012)</t>
  </si>
  <si>
    <t xml:space="preserve">http://www.secretariasenado.gov.co/senado/basedoc/ley_1579_2012.html</t>
  </si>
  <si>
    <t xml:space="preserve">Tradición de inmuebles.</t>
  </si>
  <si>
    <t xml:space="preserve">ley_258_1996</t>
  </si>
  <si>
    <t xml:space="preserve">Afectación a vivienda familiar (Ley 258 de 1996)</t>
  </si>
  <si>
    <t xml:space="preserve">http://www.secretariasenado.gov.co/senado/basedoc/ley_0258_1996.html</t>
  </si>
  <si>
    <t xml:space="preserve">También familia.</t>
  </si>
  <si>
    <t xml:space="preserve">FALTAN · JURISPRUDENCIA (1)</t>
  </si>
  <si>
    <t xml:space="preserve">sentencia_csj_civil_2017-07-18_por_verificar</t>
  </si>
  <si>
    <t xml:space="preserve">Sentencia de la Sala Civil de la Corte Suprema del 18 de julio de 2017 (lesión enorme)</t>
  </si>
  <si>
    <t xml:space="preserve">Citada en legal_basis de muestra (id 168) sin número de radicado.</t>
  </si>
  <si>
    <t xml:space="preserve">c) Acción reivindicatoria, disponible únicamente para los dueños legales del bien, de acuerdo con el artículo 946 del C.C.</t>
  </si>
  <si>
    <t xml:space="preserve">Código Civil</t>
  </si>
  <si>
    <t xml:space="preserve">(vacío)</t>
  </si>
  <si>
    <t xml:space="preserve">— · legal_basis vacío (elementos del contrato): se cubre con el Código Civil.</t>
  </si>
  <si>
    <t xml:space="preserve">Sentencia del 18 de julio de 2017, de la Sala Civil de la Corte Suprema de Justicia</t>
  </si>
  <si>
    <t xml:space="preserve">Sentencia CSJ Sala Civil, 18 de julio de 2017 · Sin número de radicado: por verificar.</t>
  </si>
  <si>
    <t xml:space="preserve">Familia · 93 preguntas en el banco</t>
  </si>
  <si>
    <t xml:space="preserve">EN EL SEED (29 documentos)</t>
  </si>
  <si>
    <t xml:space="preserve">ley_1098_2006</t>
  </si>
  <si>
    <t xml:space="preserve">Código de la Infancia y la Adolescencia (Ley 1098 de 2006)</t>
  </si>
  <si>
    <t xml:space="preserve">http://www.secretariasenado.gov.co/senado/basedoc/?q=Codigo%20infancia</t>
  </si>
  <si>
    <t xml:space="preserve">Derechos de niños y adolescentes, restablecimiento de derechos, SRPA. Citada en 5 ítem(s) del banco según el seed.</t>
  </si>
  <si>
    <t xml:space="preserve">ley_54_1990</t>
  </si>
  <si>
    <t xml:space="preserve">Ley 54 de 1990 (unión marital de hecho)</t>
  </si>
  <si>
    <t xml:space="preserve">https://www.suin-juriscol.gov.co/legislacion/?q=Ley%2054%20de%201990</t>
  </si>
  <si>
    <t xml:space="preserve">ley_979_2005</t>
  </si>
  <si>
    <t xml:space="preserve">Ley 979 de 2005 (reforma a la unión marital de hecho)</t>
  </si>
  <si>
    <t xml:space="preserve">https://www.suin-juriscol.gov.co/legislacion/?q=Ley%20979%20de%202005</t>
  </si>
  <si>
    <t xml:space="preserve">sentencia_c-039_2025</t>
  </si>
  <si>
    <t xml:space="preserve">Sentencia C-39 de 2025 · Corte Constitucional</t>
  </si>
  <si>
    <t xml:space="preserve">https://www.corteconstitucional.gov.co/relatoria/?q=Sentencia%20C-39%20de%202025</t>
  </si>
  <si>
    <t xml:space="preserve">Citada en 1 ítem(s) del banco según el seed. En legal_basis de muestra (ids 946).</t>
  </si>
  <si>
    <t xml:space="preserve">sentencia_c-096_2024</t>
  </si>
  <si>
    <t xml:space="preserve">Sentencia C-96 de 2024 · Corte Constitucional</t>
  </si>
  <si>
    <t xml:space="preserve">https://www.corteconstitucional.gov.co/relatoria/?q=Sentencia%20C-96%20de%202024</t>
  </si>
  <si>
    <t xml:space="preserve">sentencia_c-507_2004</t>
  </si>
  <si>
    <t xml:space="preserve">Sentencia C-507 de 2004 · Corte Constitucional</t>
  </si>
  <si>
    <t xml:space="preserve">https://www.corteconstitucional.gov.co/relatoria/?q=Sentencia%20C-507%20de%202004</t>
  </si>
  <si>
    <t xml:space="preserve">sentencia_su-214_2016</t>
  </si>
  <si>
    <t xml:space="preserve">Sentencia SU-214 de 2016 · Corte Constitucional · matrimonio entre parejas del mismo sexo</t>
  </si>
  <si>
    <t xml:space="preserve">https://www.corteconstitucional.gov.co/relatoria/?q=Sentencia%20SU-214%20de%202016</t>
  </si>
  <si>
    <t xml:space="preserve">decreto_4436_2005</t>
  </si>
  <si>
    <t xml:space="preserve">Decreto 4436 de 2005</t>
  </si>
  <si>
    <t xml:space="preserve">https://www.suin-juriscol.gov.co/legislacion/?q=Decreto%204436%20de%202005</t>
  </si>
  <si>
    <t xml:space="preserve">ley_29_1982</t>
  </si>
  <si>
    <t xml:space="preserve">Ley 29 de 1982 (igualdad de derechos herenciales de los hijos)</t>
  </si>
  <si>
    <t xml:space="preserve">https://www.suin-juriscol.gov.co/legislacion/?q=Ley%2029%20de%201982</t>
  </si>
  <si>
    <t xml:space="preserve">ley_721_2001</t>
  </si>
  <si>
    <t xml:space="preserve">Ley 721 de 2001 (prueba de ADN en filiación)</t>
  </si>
  <si>
    <t xml:space="preserve">https://www.suin-juriscol.gov.co/legislacion/?q=Ley%20721%20de%202001</t>
  </si>
  <si>
    <t xml:space="preserve">ley_75_1968</t>
  </si>
  <si>
    <t xml:space="preserve">Ley 75 de 1968 (filiación y creación del ICBF)</t>
  </si>
  <si>
    <t xml:space="preserve">https://www.suin-juriscol.gov.co/legislacion/?q=Ley%2075%20de%201968</t>
  </si>
  <si>
    <t xml:space="preserve">sentencia_c-004_1998</t>
  </si>
  <si>
    <t xml:space="preserve">Sentencia C-4 de 1998 · Corte Constitucional</t>
  </si>
  <si>
    <t xml:space="preserve">https://www.corteconstitucional.gov.co/relatoria/?q=Sentencia%20C-4%20de%201998</t>
  </si>
  <si>
    <t xml:space="preserve">sentencia_c-1033_2002</t>
  </si>
  <si>
    <t xml:space="preserve">Sentencia C-1033 de 2002 · Corte Constitucional</t>
  </si>
  <si>
    <t xml:space="preserve">https://www.corteconstitucional.gov.co/relatoria/?q=Sentencia%20C-1033%20de%202002</t>
  </si>
  <si>
    <t xml:space="preserve">sentencia_c-131_2018</t>
  </si>
  <si>
    <t xml:space="preserve">Sentencia C-131 de 2018 · Corte Constitucional</t>
  </si>
  <si>
    <t xml:space="preserve">https://www.corteconstitucional.gov.co/relatoria/?q=Sentencia%20C-131%20de%202018</t>
  </si>
  <si>
    <t xml:space="preserve">sentencia_c-533_2000</t>
  </si>
  <si>
    <t xml:space="preserve">Sentencia C-533 de 2000 · Corte Constitucional</t>
  </si>
  <si>
    <t xml:space="preserve">https://www.corteconstitucional.gov.co/relatoria/?q=Sentencia%20C-533%20de%202000</t>
  </si>
  <si>
    <t xml:space="preserve">sentencia_c-683_2015</t>
  </si>
  <si>
    <t xml:space="preserve">Sentencia C-683 de 2015 · Corte Constitucional · adopción por parejas del mismo sexo</t>
  </si>
  <si>
    <t xml:space="preserve">https://www.corteconstitucional.gov.co/relatoria/?q=Sentencia%20C-683%20de%202015</t>
  </si>
  <si>
    <t xml:space="preserve">sentencia_c-964_2003</t>
  </si>
  <si>
    <t xml:space="preserve">Sentencia C-964 de 2003 · Corte Constitucional</t>
  </si>
  <si>
    <t xml:space="preserve">https://www.corteconstitucional.gov.co/relatoria/?q=Sentencia%20C-964%20de%202003</t>
  </si>
  <si>
    <t xml:space="preserve">sentencia_c-985_2010</t>
  </si>
  <si>
    <t xml:space="preserve">Sentencia C-985 de 2010 · Corte Constitucional</t>
  </si>
  <si>
    <t xml:space="preserve">https://www.corteconstitucional.gov.co/relatoria/?q=Sentencia%20C-985%20de%202010</t>
  </si>
  <si>
    <t xml:space="preserve">sentencia_sc-3085_2024</t>
  </si>
  <si>
    <t xml:space="preserve">Sentencia SC-3085 de 2024 · Corte Suprema, Sala Civil</t>
  </si>
  <si>
    <t xml:space="preserve">https://www.corteconstitucional.gov.co/relatoria/?q=Sentencia%20SC-3085%20de%202024</t>
  </si>
  <si>
    <t xml:space="preserve">sentencia_t-071_2016</t>
  </si>
  <si>
    <t xml:space="preserve">Sentencia T-71 de 2016 · Corte Constitucional</t>
  </si>
  <si>
    <t xml:space="preserve">https://www.corteconstitucional.gov.co/relatoria/?q=Sentencia%20T-71%20de%202016</t>
  </si>
  <si>
    <t xml:space="preserve">sentencia_t-077_2025</t>
  </si>
  <si>
    <t xml:space="preserve">Sentencia T-77 de 2025 · Corte Constitucional</t>
  </si>
  <si>
    <t xml:space="preserve">https://www.corteconstitucional.gov.co/relatoria/?q=Sentencia%20T-77%20de%202025</t>
  </si>
  <si>
    <t xml:space="preserve">sentencia_t-1096_2008</t>
  </si>
  <si>
    <t xml:space="preserve">Sentencia T-1096 de 2008 · Corte Constitucional</t>
  </si>
  <si>
    <t xml:space="preserve">https://www.corteconstitucional.gov.co/relatoria/?q=Sentencia%20T-1096%20de%202008</t>
  </si>
  <si>
    <t xml:space="preserve">sentencia_t-232_2025</t>
  </si>
  <si>
    <t xml:space="preserve">Sentencia T-232 de 2025 · Corte Constitucional</t>
  </si>
  <si>
    <t xml:space="preserve">https://www.corteconstitucional.gov.co/relatoria/?q=Sentencia%20T-232%20de%202025</t>
  </si>
  <si>
    <t xml:space="preserve">sentencia_t-350_2025</t>
  </si>
  <si>
    <t xml:space="preserve">Sentencia T-350 de 2025 · Corte Constitucional</t>
  </si>
  <si>
    <t xml:space="preserve">https://www.corteconstitucional.gov.co/relatoria/?q=Sentencia%20T-350%20de%202025</t>
  </si>
  <si>
    <t xml:space="preserve">Citado en legal_basis de muestra (ids 487, 490, 647, 865). Libro I: matrimonio, filiación, alimentos; reproducción literal del art. 113.</t>
  </si>
  <si>
    <t xml:space="preserve">FALTAN · NORMAS COMPLEMENTARIAS (9)</t>
  </si>
  <si>
    <t xml:space="preserve">ley_1060_2006</t>
  </si>
  <si>
    <t xml:space="preserve">Impugnación de la paternidad y la maternidad (Ley 1060 de 2006)</t>
  </si>
  <si>
    <t xml:space="preserve">http://www.secretariasenado.gov.co/senado/basedoc/ley_1060_2006.html</t>
  </si>
  <si>
    <t xml:space="preserve">Filiación; complementa las Leyes 75 de 1968 y 721 de 2001 del seed.</t>
  </si>
  <si>
    <t xml:space="preserve">Violencia contra la mujer; medidas de protección.</t>
  </si>
  <si>
    <t xml:space="preserve">Capacidad legal: reemplaza la interdicción.</t>
  </si>
  <si>
    <t xml:space="preserve">ley_25_1992</t>
  </si>
  <si>
    <t xml:space="preserve">Matrimonio religioso y divorcio (Ley 25 de 1992)</t>
  </si>
  <si>
    <t xml:space="preserve">http://www.secretariasenado.gov.co/senado/basedoc/ley_0025_1992.html</t>
  </si>
  <si>
    <t xml:space="preserve">Causales de divorcio y efectos civiles.</t>
  </si>
  <si>
    <t xml:space="preserve">ley_294_1996</t>
  </si>
  <si>
    <t xml:space="preserve">Violencia intrafamiliar (Ley 294 de 1996)</t>
  </si>
  <si>
    <t xml:space="preserve">http://www.secretariasenado.gov.co/senado/basedoc/ley_0294_1996.html</t>
  </si>
  <si>
    <t xml:space="preserve">Medidas de protección; autoridad competente.</t>
  </si>
  <si>
    <t xml:space="preserve">ley_1878_2018</t>
  </si>
  <si>
    <t xml:space="preserve">Proceso administrativo de restablecimiento de derechos (Ley 1878 de 2018)</t>
  </si>
  <si>
    <t xml:space="preserve">http://www.secretariasenado.gov.co/senado/basedoc/ley_1878_2018.html</t>
  </si>
  <si>
    <t xml:space="preserve">Modifica el Código de Infancia (en el seed).</t>
  </si>
  <si>
    <t xml:space="preserve">ley_2097_2021</t>
  </si>
  <si>
    <t xml:space="preserve">Registro de Deudores Alimentarios Morosos, REDAM (Ley 2097 de 2021)</t>
  </si>
  <si>
    <t xml:space="preserve">http://www.secretariasenado.gov.co/senado/basedoc/ley_2097_2021.html</t>
  </si>
  <si>
    <t xml:space="preserve">Alimentos.</t>
  </si>
  <si>
    <t xml:space="preserve">ley_2126_2021</t>
  </si>
  <si>
    <t xml:space="preserve">Comisarías de familia (Ley 2126 de 2021)</t>
  </si>
  <si>
    <t xml:space="preserve">http://www.secretariasenado.gov.co/senado/basedoc/ley_2126_2021.html</t>
  </si>
  <si>
    <t xml:space="preserve">Autoridad competente en familia.</t>
  </si>
  <si>
    <t xml:space="preserve">Régimen patrimonial de la familia.</t>
  </si>
  <si>
    <t xml:space="preserve">sentencia_c-029_2009</t>
  </si>
  <si>
    <t xml:space="preserve">Sentencia C-029 de 2009 · extensión de derechos a parejas del mismo sexo</t>
  </si>
  <si>
    <t xml:space="preserve">https://www.corteconstitucional.gov.co/relatoria/?q=Sentencia%20C-029%20de%202009</t>
  </si>
  <si>
    <t xml:space="preserve">Interpretación sistemática de la protección de la familia.</t>
  </si>
  <si>
    <t xml:space="preserve">sentencia_c-071_2015</t>
  </si>
  <si>
    <t xml:space="preserve">Sentencia C-071 de 2015 · adopción consentida por parejas del mismo sexo</t>
  </si>
  <si>
    <t xml:space="preserve">https://www.corteconstitucional.gov.co/relatoria/?q=Sentencia%20C-071%20de%202015</t>
  </si>
  <si>
    <t xml:space="preserve">Complementa la C-683 de 2015 (en el seed).</t>
  </si>
  <si>
    <t xml:space="preserve">sentencia_c-075_2007</t>
  </si>
  <si>
    <t xml:space="preserve">Sentencia C-075 de 2007 · unión marital de hecho entre parejas del mismo sexo</t>
  </si>
  <si>
    <t xml:space="preserve">https://www.corteconstitucional.gov.co/relatoria/?q=Sentencia%20C-075%20de%202007</t>
  </si>
  <si>
    <t xml:space="preserve">Complementa la Ley 54 de 1990 (en el seed).</t>
  </si>
  <si>
    <t xml:space="preserve">sentencia_c-577_2011</t>
  </si>
  <si>
    <t xml:space="preserve">Sentencia C-577 de 2011 · parejas del mismo sexo como familia</t>
  </si>
  <si>
    <t xml:space="preserve">https://www.corteconstitucional.gov.co/relatoria/?q=Sentencia%20C-577%20de%202011</t>
  </si>
  <si>
    <t xml:space="preserve">Hito que antecede a la SU-214 de 2016 (en el seed).</t>
  </si>
  <si>
    <t xml:space="preserve">1820 del Código Civil.</t>
  </si>
  <si>
    <t xml:space="preserve">Código civil.</t>
  </si>
  <si>
    <t xml:space="preserve">1796 del Código Civil.</t>
  </si>
  <si>
    <t xml:space="preserve">artículo 113 del Código Civil</t>
  </si>
  <si>
    <t xml:space="preserve">Tributario · 92 preguntas en el banco</t>
  </si>
  <si>
    <t xml:space="preserve">EN EL SEED (19 documentos)</t>
  </si>
  <si>
    <t xml:space="preserve">sentencia_c-891_2012</t>
  </si>
  <si>
    <t xml:space="preserve">Sentencia C-891 de 2012 · Corte Constitucional</t>
  </si>
  <si>
    <t xml:space="preserve">https://www.corteconstitucional.gov.co/relatoria/?q=Sentencia%20C-891%20de%202012</t>
  </si>
  <si>
    <t xml:space="preserve">Citada en 1 ítem(s) del banco según el seed. En legal_basis de muestra (ids 991).</t>
  </si>
  <si>
    <t xml:space="preserve">sentencia_c-035_2009</t>
  </si>
  <si>
    <t xml:space="preserve">Sentencia C-35 de 2009 · Corte Constitucional</t>
  </si>
  <si>
    <t xml:space="preserve">https://www.corteconstitucional.gov.co/relatoria/?q=Sentencia%20C-35%20de%202009</t>
  </si>
  <si>
    <t xml:space="preserve">sentencia_c-117_2018</t>
  </si>
  <si>
    <t xml:space="preserve">Sentencia C-117 de 2018 · Corte Constitucional</t>
  </si>
  <si>
    <t xml:space="preserve">https://www.corteconstitucional.gov.co/relatoria/?q=Sentencia%20C-117%20de%202018</t>
  </si>
  <si>
    <t xml:space="preserve">sentencia_c-540_2023</t>
  </si>
  <si>
    <t xml:space="preserve">Sentencia C-540 de 2023 · Corte Constitucional</t>
  </si>
  <si>
    <t xml:space="preserve">https://www.corteconstitucional.gov.co/relatoria/?q=Sentencia%20C-540%20de%202023</t>
  </si>
  <si>
    <t xml:space="preserve">decreto_1742_2020</t>
  </si>
  <si>
    <t xml:space="preserve">Decreto 1742 de 2020</t>
  </si>
  <si>
    <t xml:space="preserve">https://www.suin-juriscol.gov.co/legislacion/?q=Decreto%201742%20de%202020</t>
  </si>
  <si>
    <t xml:space="preserve">decreto_175_2025</t>
  </si>
  <si>
    <t xml:space="preserve">Decreto 175 de 2025</t>
  </si>
  <si>
    <t xml:space="preserve">https://www.suin-juriscol.gov.co/legislacion/?q=Decreto%20175%20de%202025</t>
  </si>
  <si>
    <t xml:space="preserve">ley_137_1994</t>
  </si>
  <si>
    <t xml:space="preserve">Ley 137 de 1994 (estatutaria de estados de excepción)</t>
  </si>
  <si>
    <t xml:space="preserve">https://www.suin-juriscol.gov.co/legislacion/?q=Ley%20137%20de%201994</t>
  </si>
  <si>
    <t xml:space="preserve">ley_1473_2011</t>
  </si>
  <si>
    <t xml:space="preserve">Ley 1473 de 2011 (regla fiscal)</t>
  </si>
  <si>
    <t xml:space="preserve">https://www.suin-juriscol.gov.co/legislacion/?q=Ley%201473%20de%202011</t>
  </si>
  <si>
    <t xml:space="preserve">ley_1607_2012</t>
  </si>
  <si>
    <t xml:space="preserve">Ley 1607 de 2012 (reforma tributaria)</t>
  </si>
  <si>
    <t xml:space="preserve">https://www.suin-juriscol.gov.co/legislacion/?q=Ley%201607%20de%202012</t>
  </si>
  <si>
    <t xml:space="preserve">ley_1692_2017</t>
  </si>
  <si>
    <t xml:space="preserve">Ley 1692 de 2017</t>
  </si>
  <si>
    <t xml:space="preserve">https://www.suin-juriscol.gov.co/legislacion/?q=Ley%201692%20de%202017</t>
  </si>
  <si>
    <t xml:space="preserve">ley_1819_2016</t>
  </si>
  <si>
    <t xml:space="preserve">Ley 1819 de 2016 (reforma tributaria estructural)</t>
  </si>
  <si>
    <t xml:space="preserve">https://www.suin-juriscol.gov.co/legislacion/?q=Ley%201819%20de%202016</t>
  </si>
  <si>
    <t xml:space="preserve">sentencia_c-389_2023</t>
  </si>
  <si>
    <t xml:space="preserve">Sentencia C-389 de 2023 · Corte Constitucional</t>
  </si>
  <si>
    <t xml:space="preserve">https://www.corteconstitucional.gov.co/relatoria/?q=Sentencia%20C-389%20de%202023</t>
  </si>
  <si>
    <t xml:space="preserve">sentencia_c-413_1996</t>
  </si>
  <si>
    <t xml:space="preserve">Sentencia C-413 de 1996 · Corte Constitucional</t>
  </si>
  <si>
    <t xml:space="preserve">https://www.corteconstitucional.gov.co/relatoria/?q=Sentencia%20C-413%20de%201996</t>
  </si>
  <si>
    <t xml:space="preserve">sentencia_c-537_1995</t>
  </si>
  <si>
    <t xml:space="preserve">Sentencia C-537 de 1995 · Corte Constitucional</t>
  </si>
  <si>
    <t xml:space="preserve">https://www.corteconstitucional.gov.co/relatoria/?q=Sentencia%20C-537%20de%201995</t>
  </si>
  <si>
    <t xml:space="preserve">FALTAN · NORMAS BASE (0)</t>
  </si>
  <si>
    <t xml:space="preserve">decreto_1333_1986</t>
  </si>
  <si>
    <t xml:space="preserve">Código de Régimen Municipal (Decreto 1333 de 1986)</t>
  </si>
  <si>
    <t xml:space="preserve">https://www.suin-juriscol.gov.co/legislacion/?q=Decreto%201333%20de%201986</t>
  </si>
  <si>
    <t xml:space="preserve">Tributos municipales.</t>
  </si>
  <si>
    <t xml:space="preserve">decreto_1625_2016</t>
  </si>
  <si>
    <t xml:space="preserve">Decreto Único Reglamentario en materia tributaria (Decreto 1625 de 2016)</t>
  </si>
  <si>
    <t xml:space="preserve">https://www.suin-juriscol.gov.co/legislacion/?q=Decreto%201625%20de%202016</t>
  </si>
  <si>
    <t xml:space="preserve">Reglamenta el Estatuto Tributario (en el seed).</t>
  </si>
  <si>
    <t xml:space="preserve">ley_14_1983</t>
  </si>
  <si>
    <t xml:space="preserve">Fortalecimiento de los fiscos territoriales (Ley 14 de 1983)</t>
  </si>
  <si>
    <t xml:space="preserve">http://www.secretariasenado.gov.co/senado/basedoc/ley_0014_1983.html</t>
  </si>
  <si>
    <t xml:space="preserve">Impuesto de industria y comercio (ICA); tributos territoriales.</t>
  </si>
  <si>
    <t xml:space="preserve">ley_2010_2019</t>
  </si>
  <si>
    <t xml:space="preserve">Ley de crecimiento económico (Ley 2010 de 2019)</t>
  </si>
  <si>
    <t xml:space="preserve">http://www.secretariasenado.gov.co/senado/basedoc/ley_2010_2019.html</t>
  </si>
  <si>
    <t xml:space="preserve">Reexpidió la Ley 1943 de 2018 tras la C-481 de 2019.</t>
  </si>
  <si>
    <t xml:space="preserve">ley_2277_2022</t>
  </si>
  <si>
    <t xml:space="preserve">Reforma tributaria para la igualdad y la justicia social (Ley 2277 de 2022)</t>
  </si>
  <si>
    <t xml:space="preserve">http://www.secretariasenado.gov.co/senado/basedoc/ley_2277_2022.html</t>
  </si>
  <si>
    <t xml:space="preserve">Vigencia temporal de las normas del ET.</t>
  </si>
  <si>
    <t xml:space="preserve">ley_1739_2014</t>
  </si>
  <si>
    <t xml:space="preserve">Reforma tributaria (Ley 1739 de 2014)</t>
  </si>
  <si>
    <t xml:space="preserve">http://www.secretariasenado.gov.co/senado/basedoc/ley_1739_2014.html</t>
  </si>
  <si>
    <t xml:space="preserve">Reformas al ET.</t>
  </si>
  <si>
    <t xml:space="preserve">ley_1943_2018</t>
  </si>
  <si>
    <t xml:space="preserve">Ley de financiamiento (Ley 1943 de 2018)</t>
  </si>
  <si>
    <t xml:space="preserve">http://www.secretariasenado.gov.co/senado/basedoc/ley_1943_2018.html</t>
  </si>
  <si>
    <t xml:space="preserve">Declarada inexequible (C-481 de 2019): vigencia temporal.</t>
  </si>
  <si>
    <t xml:space="preserve">ley_2155_2021</t>
  </si>
  <si>
    <t xml:space="preserve">Ley de inversión social (Ley 2155 de 2021)</t>
  </si>
  <si>
    <t xml:space="preserve">http://www.secretariasenado.gov.co/senado/basedoc/ley_2155_2021.html</t>
  </si>
  <si>
    <t xml:space="preserve">doctrina_dian_por_verificar</t>
  </si>
  <si>
    <t xml:space="preserve">Doctrina oficial de la DIAN (conceptos generales y unificados)</t>
  </si>
  <si>
    <t xml:space="preserve">doctrina</t>
  </si>
  <si>
    <t xml:space="preserve">DIAN</t>
  </si>
  <si>
    <t xml:space="preserve">https://www.dian.gov.co</t>
  </si>
  <si>
    <t xml:space="preserve">La muestra id 671 cita 'Doctrina.' sin identificarla; definir con los compañeros de derecho qué conceptos incluir.</t>
  </si>
  <si>
    <t xml:space="preserve">sentencia_ce_2020ce-suj-4-005_2020</t>
  </si>
  <si>
    <t xml:space="preserve">Sentencia de unificación 2020CE-SUJ-4-005 del Consejo de Estado, Sección Cuarta (26 de noviembre de 2020, exp. 21329)</t>
  </si>
  <si>
    <t xml:space="preserve">Citada en legal_basis de muestra (id 142): deducibilidad de gastos en renta.</t>
  </si>
  <si>
    <t xml:space="preserve">sentencia_c-481_2019</t>
  </si>
  <si>
    <t xml:space="preserve">Sentencia C-481 de 2019 · inexequibilidad de la Ley 1943 de 2018</t>
  </si>
  <si>
    <t xml:space="preserve">https://www.corteconstitucional.gov.co/relatoria/?q=Sentencia%20C-481%20de%202019</t>
  </si>
  <si>
    <t xml:space="preserve">Vicios de trámite y vigencia temporal.</t>
  </si>
  <si>
    <t xml:space="preserve">sentencia_c-776_2003</t>
  </si>
  <si>
    <t xml:space="preserve">Sentencia C-776 de 2003 · IVA a la canasta familiar y capacidad contributiva</t>
  </si>
  <si>
    <t xml:space="preserve">https://www.corteconstitucional.gov.co/relatoria/?q=Sentencia%20C-776%20de%202003</t>
  </si>
  <si>
    <t xml:space="preserve">Principios tributarios (equidad, progresividad).</t>
  </si>
  <si>
    <t xml:space="preserve">'Doctrina.' (sin identificar) · Probablemente doctrina DIAN: por verificar.</t>
  </si>
  <si>
    <t xml:space="preserve">Sentencia de unificación 2020CE-SUJ-4-005 del 26 de noviembre de 2020 con expediente 21329.</t>
  </si>
  <si>
    <t xml:space="preserve">Sentencia de unificación 2020CE-SUJ-4-005 (Consejo de Estado) · No extraíble por el evaluador; incluirla igual para RAGAS.</t>
  </si>
  <si>
    <t xml:space="preserve">Laboral · 87 preguntas en el banco</t>
  </si>
  <si>
    <t xml:space="preserve">EN EL SEED (30 documentos)</t>
  </si>
  <si>
    <t xml:space="preserve">decreto_2663_1950</t>
  </si>
  <si>
    <t xml:space="preserve">Código Sustantivo del Trabajo (Decreto Ley 2663 de 1950)</t>
  </si>
  <si>
    <t xml:space="preserve">http://www.secretariasenado.gov.co/senado/basedoc/?q=Codigo%20sustantivo%20trabajo</t>
  </si>
  <si>
    <t xml:space="preserve">Definiciones, requisitos y reproducción literal en laboral. Conservar las notas de vigencia de la Ley 2466 de 2025. Citada en 37 ítem(s) del banco según el seed. En legal_basis de muestra (ids 617, 253, 442, 1073).</t>
  </si>
  <si>
    <t xml:space="preserve">sentencia_sl-3385_2022</t>
  </si>
  <si>
    <t xml:space="preserve">Sentencia SL-3385 de 2022 · Corte Suprema, Sala Laboral</t>
  </si>
  <si>
    <t xml:space="preserve">https://www.corteconstitucional.gov.co/relatoria/?q=Sentencia%20SL-3385%20de%202022</t>
  </si>
  <si>
    <t xml:space="preserve">Citada en 4 ítem(s) del banco según el seed. En legal_basis de muestra (ids 253). El seed apunta a la relatoría de la Corte Constitucional; buscarla en la de la Corte Suprema.</t>
  </si>
  <si>
    <t xml:space="preserve">ley_1010_2006</t>
  </si>
  <si>
    <t xml:space="preserve">Ley 1010 de 2006 (acoso laboral)</t>
  </si>
  <si>
    <t xml:space="preserve">https://www.suin-juriscol.gov.co/legislacion/?q=Ley%201010%20de%202006</t>
  </si>
  <si>
    <t xml:space="preserve">Citada en 3 ítem(s) del banco según el seed. En legal_basis de muestra (ids 79).</t>
  </si>
  <si>
    <t xml:space="preserve">ley_2452_2025</t>
  </si>
  <si>
    <t xml:space="preserve">Ley 2452 de 2025 (Código Procesal del Trabajo y de la Seguridad Social)</t>
  </si>
  <si>
    <t xml:space="preserve">https://www.suin-juriscol.gov.co/legislacion/?q=Ley%202452%20de%202025</t>
  </si>
  <si>
    <t xml:space="preserve">ley_2466_2025</t>
  </si>
  <si>
    <t xml:space="preserve">Ley 2466 de 2025 (reforma laboral)</t>
  </si>
  <si>
    <t xml:space="preserve">https://www.suin-juriscol.gov.co/legislacion/?q=Ley%202466%20de%202025</t>
  </si>
  <si>
    <t xml:space="preserve">ley_1562_2012</t>
  </si>
  <si>
    <t xml:space="preserve">Ley 1562 de 2012 (sistema de riesgos laborales)</t>
  </si>
  <si>
    <t xml:space="preserve">https://www.suin-juriscol.gov.co/legislacion/?q=Ley%201562%20de%202012</t>
  </si>
  <si>
    <t xml:space="preserve">Citada en 1 ítem(s) del banco según el seed. En legal_basis de muestra (ids 253).</t>
  </si>
  <si>
    <t xml:space="preserve">sentencia_t-243_2018</t>
  </si>
  <si>
    <t xml:space="preserve">Sentencia T-243 de 2018 · Corte Constitucional</t>
  </si>
  <si>
    <t xml:space="preserve">https://www.corteconstitucional.gov.co/relatoria/?q=Sentencia%20T-243%20de%202018</t>
  </si>
  <si>
    <t xml:space="preserve">ley_50_1990</t>
  </si>
  <si>
    <t xml:space="preserve">Ley 50 de 1990 (reforma laboral de 1990)</t>
  </si>
  <si>
    <t xml:space="preserve">https://www.suin-juriscol.gov.co/legislacion/?q=Ley%2050%20de%201990</t>
  </si>
  <si>
    <t xml:space="preserve">sentencia_sl-648_2018</t>
  </si>
  <si>
    <t xml:space="preserve">Sentencia SL-648 de 2018 · Corte Suprema, Sala Laboral</t>
  </si>
  <si>
    <t xml:space="preserve">https://www.corteconstitucional.gov.co/relatoria/?q=Sentencia%20SL-648%20de%202018</t>
  </si>
  <si>
    <t xml:space="preserve">sentencia_su-111_2025</t>
  </si>
  <si>
    <t xml:space="preserve">Sentencia SU-111 de 2025 · Corte Constitucional</t>
  </si>
  <si>
    <t xml:space="preserve">https://www.corteconstitucional.gov.co/relatoria/?q=Sentencia%20SU-111%20de%202025</t>
  </si>
  <si>
    <t xml:space="preserve">sentencia_su-027_2021</t>
  </si>
  <si>
    <t xml:space="preserve">Sentencia SU-27 de 2021 · Corte Constitucional</t>
  </si>
  <si>
    <t xml:space="preserve">https://www.corteconstitucional.gov.co/relatoria/?q=Sentencia%20SU-27%20de%202021</t>
  </si>
  <si>
    <t xml:space="preserve">sentencia_su-149_2021</t>
  </si>
  <si>
    <t xml:space="preserve">Sentencia SU-149 de 2021 · Corte Constitucional</t>
  </si>
  <si>
    <t xml:space="preserve">https://www.corteconstitucional.gov.co/relatoria/?q=Sentencia%20SU-149%20de%202021</t>
  </si>
  <si>
    <t xml:space="preserve">sentencia_su-296_2023</t>
  </si>
  <si>
    <t xml:space="preserve">Sentencia SU-296 de 2023 · Corte Constitucional</t>
  </si>
  <si>
    <t xml:space="preserve">https://www.corteconstitucional.gov.co/relatoria/?q=Sentencia%20SU-296%20de%202023</t>
  </si>
  <si>
    <t xml:space="preserve">sentencia_su-396_2024</t>
  </si>
  <si>
    <t xml:space="preserve">Sentencia SU-396 de 2024 · Corte Constitucional</t>
  </si>
  <si>
    <t xml:space="preserve">https://www.corteconstitucional.gov.co/relatoria/?q=Sentencia%20SU-396%20de%202024</t>
  </si>
  <si>
    <t xml:space="preserve">decreto_405_2025</t>
  </si>
  <si>
    <t xml:space="preserve">Decreto 405 de 2025</t>
  </si>
  <si>
    <t xml:space="preserve">https://www.suin-juriscol.gov.co/legislacion/?q=Decreto%20405%20de%202025</t>
  </si>
  <si>
    <t xml:space="preserve">decreto_875_2008</t>
  </si>
  <si>
    <t xml:space="preserve">Decreto 875 de 2008</t>
  </si>
  <si>
    <t xml:space="preserve">https://www.suin-juriscol.gov.co/legislacion/?q=Decreto%20875%20de%202008</t>
  </si>
  <si>
    <t xml:space="preserve">ley_2114_2021</t>
  </si>
  <si>
    <t xml:space="preserve">Ley 2114 de 2021 (licencia de paternidad)</t>
  </si>
  <si>
    <t xml:space="preserve">https://www.suin-juriscol.gov.co/legislacion/?q=Ley%202114%20de%202021</t>
  </si>
  <si>
    <t xml:space="preserve">ley_2737_1989</t>
  </si>
  <si>
    <t xml:space="preserve">Ley 2737 de 1989</t>
  </si>
  <si>
    <t xml:space="preserve">https://www.suin-juriscol.gov.co/legislacion/?q=Ley%202737%20de%201989</t>
  </si>
  <si>
    <t xml:space="preserve">Citada en 1 ítem(s) del banco según el seed. Probablemente el Decreto 2737 de 1989 (antiguo Código del Menor, derogado).</t>
  </si>
  <si>
    <t xml:space="preserve">sentencia_c-170_2004</t>
  </si>
  <si>
    <t xml:space="preserve">Sentencia C-170 de 2004 · Corte Constitucional</t>
  </si>
  <si>
    <t xml:space="preserve">https://www.corteconstitucional.gov.co/relatoria/?q=Sentencia%20C-170%20de%202004</t>
  </si>
  <si>
    <t xml:space="preserve">sentencia_c-201_2002</t>
  </si>
  <si>
    <t xml:space="preserve">Sentencia C-201 de 2002 · Corte Constitucional</t>
  </si>
  <si>
    <t xml:space="preserve">https://www.corteconstitucional.gov.co/relatoria/?q=Sentencia%20C-201%20de%202002</t>
  </si>
  <si>
    <t xml:space="preserve">sentencia_c-535_2002</t>
  </si>
  <si>
    <t xml:space="preserve">Sentencia C-535 de 2002 · Corte Constitucional</t>
  </si>
  <si>
    <t xml:space="preserve">https://www.corteconstitucional.gov.co/relatoria/?q=Sentencia%20C-535%20de%202002</t>
  </si>
  <si>
    <t xml:space="preserve">sentencia_sl-1050_2023</t>
  </si>
  <si>
    <t xml:space="preserve">Sentencia SL-1050 de 2023 · Corte Suprema, Sala Laboral</t>
  </si>
  <si>
    <t xml:space="preserve">https://www.corteconstitucional.gov.co/relatoria/?q=Sentencia%20SL-1050%20de%202023</t>
  </si>
  <si>
    <t xml:space="preserve">sentencia_sl-1730_2020</t>
  </si>
  <si>
    <t xml:space="preserve">Sentencia SL-1730 de 2020 · Corte Suprema, Sala Laboral</t>
  </si>
  <si>
    <t xml:space="preserve">https://www.corteconstitucional.gov.co/relatoria/?q=Sentencia%20SL-1730%20de%202020</t>
  </si>
  <si>
    <t xml:space="preserve">sentencia_sl-1972_2025</t>
  </si>
  <si>
    <t xml:space="preserve">Sentencia SL-1972 de 2025 · Corte Suprema, Sala Laboral</t>
  </si>
  <si>
    <t xml:space="preserve">https://www.corteconstitucional.gov.co/relatoria/?q=Sentencia%20SL-1972%20de%202025</t>
  </si>
  <si>
    <t xml:space="preserve">sentencia_t-1059_2001</t>
  </si>
  <si>
    <t xml:space="preserve">Sentencia T-1059 de 2001 · Corte Constitucional</t>
  </si>
  <si>
    <t xml:space="preserve">https://www.corteconstitucional.gov.co/relatoria/?q=Sentencia%20T-1059%20de%202001</t>
  </si>
  <si>
    <t xml:space="preserve">sentencia_t-145_2016</t>
  </si>
  <si>
    <t xml:space="preserve">Sentencia T-145 de 2016 · Corte Constitucional</t>
  </si>
  <si>
    <t xml:space="preserve">https://www.corteconstitucional.gov.co/relatoria/?q=Sentencia%20T-145%20de%202016</t>
  </si>
  <si>
    <t xml:space="preserve">ley_100_1993</t>
  </si>
  <si>
    <t xml:space="preserve">Sistema de seguridad social integral (Ley 100 de 1993)</t>
  </si>
  <si>
    <t xml:space="preserve">http://www.secretariasenado.gov.co/senado/basedoc/ley_0100_1993.html</t>
  </si>
  <si>
    <t xml:space="preserve">Régimen pensional y de salud vigente mientras la Ley 2381 de 2024 no entre a regir.</t>
  </si>
  <si>
    <t xml:space="preserve">FALTAN · NORMAS COMPLEMENTARIAS (12)</t>
  </si>
  <si>
    <t xml:space="preserve">decreto_1072_2015</t>
  </si>
  <si>
    <t xml:space="preserve">Decreto Único Reglamentario del Sector Trabajo (Decreto 1072 de 2015)</t>
  </si>
  <si>
    <t xml:space="preserve">https://www.suin-juriscol.gov.co/legislacion/?q=Decreto%201072%20de%202015</t>
  </si>
  <si>
    <t xml:space="preserve">Reglamentos laborales, SG-SST y riesgos.</t>
  </si>
  <si>
    <t xml:space="preserve">Código anterior para procesos iniciados antes del 6 de abril de 2026.</t>
  </si>
  <si>
    <t xml:space="preserve">ley_1822_2017</t>
  </si>
  <si>
    <t xml:space="preserve">Licencia de maternidad de 18 semanas (Ley 1822 de 2017)</t>
  </si>
  <si>
    <t xml:space="preserve">http://www.secretariasenado.gov.co/senado/basedoc/ley_1822_2017.html</t>
  </si>
  <si>
    <t xml:space="preserve">Licencias y fuero de maternidad.</t>
  </si>
  <si>
    <t xml:space="preserve">ley_2101_2021</t>
  </si>
  <si>
    <t xml:space="preserve">Reducción de la jornada laboral a 42 horas (Ley 2101 de 2021)</t>
  </si>
  <si>
    <t xml:space="preserve">http://www.secretariasenado.gov.co/senado/basedoc/ley_2101_2021.html</t>
  </si>
  <si>
    <t xml:space="preserve">Vigencia escalonada de la jornada.</t>
  </si>
  <si>
    <t xml:space="preserve">ley_2381_2024</t>
  </si>
  <si>
    <t xml:space="preserve">Reforma pensional (Ley 2381 de 2024)</t>
  </si>
  <si>
    <t xml:space="preserve">http://www.secretariasenado.gov.co/senado/basedoc/ley_2381_2024.html</t>
  </si>
  <si>
    <t xml:space="preserve">Diferida al 1 de abril de 2027 por la C-264 de 2026; marcar como no vigente.</t>
  </si>
  <si>
    <t xml:space="preserve">ley_361_1997</t>
  </si>
  <si>
    <t xml:space="preserve">Integración social de personas con discapacidad (Ley 361 de 1997)</t>
  </si>
  <si>
    <t xml:space="preserve">http://www.secretariasenado.gov.co/senado/basedoc/ley_0361_1997.html</t>
  </si>
  <si>
    <t xml:space="preserve">Estabilidad laboral reforzada.</t>
  </si>
  <si>
    <t xml:space="preserve">ley_789_2002</t>
  </si>
  <si>
    <t xml:space="preserve">Reforma laboral de 2002 (Ley 789 de 2002)</t>
  </si>
  <si>
    <t xml:space="preserve">http://www.secretariasenado.gov.co/senado/basedoc/ley_0789_2002.html</t>
  </si>
  <si>
    <t xml:space="preserve">Modificada por la Ley 2466 de 2025; vigencia temporal.</t>
  </si>
  <si>
    <t xml:space="preserve">decreto_1295_1994</t>
  </si>
  <si>
    <t xml:space="preserve">Sistema General de Riesgos Profesionales (Decreto 1295 de 1994)</t>
  </si>
  <si>
    <t xml:space="preserve">https://www.suin-juriscol.gov.co/legislacion/?q=Decreto%201295%20de%201994</t>
  </si>
  <si>
    <t xml:space="preserve">Riesgos laborales (muestra 253).</t>
  </si>
  <si>
    <t xml:space="preserve">ley_1221_2008</t>
  </si>
  <si>
    <t xml:space="preserve">Teletrabajo (Ley 1221 de 2008)</t>
  </si>
  <si>
    <t xml:space="preserve">http://www.secretariasenado.gov.co/senado/basedoc/ley_1221_2008.html</t>
  </si>
  <si>
    <t xml:space="preserve">Modalidades de trabajo.</t>
  </si>
  <si>
    <t xml:space="preserve">ley_2088_2021</t>
  </si>
  <si>
    <t xml:space="preserve">Trabajo en casa (Ley 2088 de 2021)</t>
  </si>
  <si>
    <t xml:space="preserve">http://www.secretariasenado.gov.co/senado/basedoc/ley_2088_2021.html</t>
  </si>
  <si>
    <t xml:space="preserve">ley_2121_2021</t>
  </si>
  <si>
    <t xml:space="preserve">Trabajo remoto (Ley 2121 de 2021)</t>
  </si>
  <si>
    <t xml:space="preserve">http://www.secretariasenado.gov.co/senado/basedoc/ley_2121_2021.html</t>
  </si>
  <si>
    <t xml:space="preserve">ley_776_2002</t>
  </si>
  <si>
    <t xml:space="preserve">Prestaciones del sistema de riesgos laborales (Ley 776 de 2002)</t>
  </si>
  <si>
    <t xml:space="preserve">http://www.secretariasenado.gov.co/senado/basedoc/ley_0776_2002.html</t>
  </si>
  <si>
    <t xml:space="preserve">Complementa la Ley 1562 de 2012 (en el seed).</t>
  </si>
  <si>
    <t xml:space="preserve">FALTAN · JURISPRUDENCIA (5)</t>
  </si>
  <si>
    <t xml:space="preserve">csj_laboral_hitos_por_verificar</t>
  </si>
  <si>
    <t xml:space="preserve">Sentencias hito de la Sala de Casación Laboral (Corte Suprema)</t>
  </si>
  <si>
    <t xml:space="preserve">El seed trae 5 SL; completar con hitos que indiquen los compañeros de derecho.</t>
  </si>
  <si>
    <t xml:space="preserve">sentencia_c-264_2026</t>
  </si>
  <si>
    <t xml:space="preserve">Sentencia C-264 de 2026 · reforma pensional (Ley 2381 de 2024)</t>
  </si>
  <si>
    <t xml:space="preserve">https://www.corteconstitucional.gov.co/relatoria/?q=Sentencia%20C-264%20de%202026</t>
  </si>
  <si>
    <t xml:space="preserve">Fijó la entrada en vigencia en abril de 2027; vigencia temporal.</t>
  </si>
  <si>
    <t xml:space="preserve">sentencia_c-614_2009</t>
  </si>
  <si>
    <t xml:space="preserve">Sentencia C-614 de 2009 · prohibición de contratos de prestación de servicios para funciones permanentes</t>
  </si>
  <si>
    <t xml:space="preserve">https://www.corteconstitucional.gov.co/relatoria/?q=Sentencia%20C-614%20de%202009</t>
  </si>
  <si>
    <t xml:space="preserve">Contrato realidad.</t>
  </si>
  <si>
    <t xml:space="preserve">sentencia_su-049_2017</t>
  </si>
  <si>
    <t xml:space="preserve">Sentencia SU-049 de 2017 · estabilidad laboral reforzada por razones de salud</t>
  </si>
  <si>
    <t xml:space="preserve">https://www.corteconstitucional.gov.co/relatoria/?q=Sentencia%20SU-049%20de%202017</t>
  </si>
  <si>
    <t xml:space="preserve">Sentencia de unificación.</t>
  </si>
  <si>
    <t xml:space="preserve">sentencia_su-075_2018</t>
  </si>
  <si>
    <t xml:space="preserve">Sentencia SU-075 de 2018 · estabilidad laboral reforzada de la mujer embarazada</t>
  </si>
  <si>
    <t xml:space="preserve">https://www.corteconstitucional.gov.co/relatoria/?q=Sentencia%20SU-075%20de%202018</t>
  </si>
  <si>
    <t xml:space="preserve">Sentencia de unificación; fuero de maternidad.</t>
  </si>
  <si>
    <t xml:space="preserve">Todas las normas citadas en la muestra de esta área están en el seed.</t>
  </si>
  <si>
    <t xml:space="preserve">Mercados · 72 preguntas en el banco</t>
  </si>
  <si>
    <t xml:space="preserve">EN EL SEED (15 documentos)</t>
  </si>
  <si>
    <t xml:space="preserve">decreto_2153_1992</t>
  </si>
  <si>
    <t xml:space="preserve">Decreto 2153 de 1992 (estructura de la SIC y prácticas restrictivas)</t>
  </si>
  <si>
    <t xml:space="preserve">https://www.suin-juriscol.gov.co/legislacion/?q=Decreto%202153%20de%201992</t>
  </si>
  <si>
    <t xml:space="preserve">Citada en 10 ítem(s) del banco según el seed. En legal_basis de muestra (ids 960).</t>
  </si>
  <si>
    <t xml:space="preserve">ley_1340_2009</t>
  </si>
  <si>
    <t xml:space="preserve">Ley 1340 de 2009 (protección de la competencia)</t>
  </si>
  <si>
    <t xml:space="preserve">https://www.suin-juriscol.gov.co/legislacion/?q=Ley%201340%20de%202009</t>
  </si>
  <si>
    <t xml:space="preserve">Citada en 3 ítem(s) del banco según el seed. En legal_basis de muestra (ids 472).</t>
  </si>
  <si>
    <t xml:space="preserve">ley_256_1996</t>
  </si>
  <si>
    <t xml:space="preserve">Ley 256 de 1996 (competencia desleal)</t>
  </si>
  <si>
    <t xml:space="preserve">https://www.suin-juriscol.gov.co/legislacion/?q=Ley%20256%20de%201996</t>
  </si>
  <si>
    <t xml:space="preserve">decreto_4886_2011</t>
  </si>
  <si>
    <t xml:space="preserve">Decreto 4886 de 2011 (estructura de la SIC)</t>
  </si>
  <si>
    <t xml:space="preserve">https://www.suin-juriscol.gov.co/legislacion/?q=Decreto%204886%20de%202011</t>
  </si>
  <si>
    <t xml:space="preserve">ley_116_2006</t>
  </si>
  <si>
    <t xml:space="preserve">Ley 116 de 2006</t>
  </si>
  <si>
    <t xml:space="preserve">https://www.suin-juriscol.gov.co/legislacion/?q=Ley%20116%20de%202006</t>
  </si>
  <si>
    <t xml:space="preserve">Citada en 1 ítem(s) del banco según el seed. Probable error por la Ley 1116 de 2006 (ya en el seed).</t>
  </si>
  <si>
    <t xml:space="preserve">ley_155_1959</t>
  </si>
  <si>
    <t xml:space="preserve">Ley 155 de 1959 (prácticas comerciales restrictivas)</t>
  </si>
  <si>
    <t xml:space="preserve">https://www.suin-juriscol.gov.co/legislacion/?q=Ley%20155%20de%201959</t>
  </si>
  <si>
    <t xml:space="preserve">ley_2157_2021</t>
  </si>
  <si>
    <t xml:space="preserve">Ley 2157 de 2021 (modifica el hábeas data financiero)</t>
  </si>
  <si>
    <t xml:space="preserve">https://www.suin-juriscol.gov.co/legislacion/?q=Ley%202157%20de%202021</t>
  </si>
  <si>
    <t xml:space="preserve">ley_640_2001</t>
  </si>
  <si>
    <t xml:space="preserve">Ley 640 de 2001 (conciliación (anterior))</t>
  </si>
  <si>
    <t xml:space="preserve">https://www.suin-juriscol.gov.co/legislacion/?q=Ley%20640%20de%202001</t>
  </si>
  <si>
    <t xml:space="preserve">sentencia_c-080_2025</t>
  </si>
  <si>
    <t xml:space="preserve">Sentencia C-80 de 2025 · Corte Constitucional</t>
  </si>
  <si>
    <t xml:space="preserve">https://www.corteconstitucional.gov.co/relatoria/?q=Sentencia%20C-80%20de%202025</t>
  </si>
  <si>
    <t xml:space="preserve">decision_351_1993</t>
  </si>
  <si>
    <t xml:space="preserve">Decisión Andina 351 de 1993 (régimen común sobre derecho de autor y derechos conexos)</t>
  </si>
  <si>
    <t xml:space="preserve">http://www.secretariasenado.gov.co/senado/basedoc/?q=Decision%20andina%20351</t>
  </si>
  <si>
    <t xml:space="preserve">Norma base de derecho de autor; el seed solo trae la Decisión 486 (propiedad industrial).</t>
  </si>
  <si>
    <t xml:space="preserve">ley_1266_2008</t>
  </si>
  <si>
    <t xml:space="preserve">Hábeas data financiero (Ley 1266 de 2008)</t>
  </si>
  <si>
    <t xml:space="preserve">http://www.secretariasenado.gov.co/senado/basedoc/ley_1266_2008.html</t>
  </si>
  <si>
    <t xml:space="preserve">Base de datos personales financieros; la Ley 2157 de 2021 del seed la modifica.</t>
  </si>
  <si>
    <t xml:space="preserve">ley_23_1982</t>
  </si>
  <si>
    <t xml:space="preserve">Derechos de autor (Ley 23 de 1982)</t>
  </si>
  <si>
    <t xml:space="preserve">http://www.secretariasenado.gov.co/senado/basedoc/ley_0023_1982.html</t>
  </si>
  <si>
    <t xml:space="preserve">Norma base nacional de derecho de autor.</t>
  </si>
  <si>
    <t xml:space="preserve">FALTAN · NORMAS COMPLEMENTARIAS (6)</t>
  </si>
  <si>
    <t xml:space="preserve">Compila reglamentos de datos personales, consumidor y competencia.</t>
  </si>
  <si>
    <t xml:space="preserve">decreto_1377_2013</t>
  </si>
  <si>
    <t xml:space="preserve">Reglamentario de la Ley 1581 de 2012 (Decreto 1377 de 2013)</t>
  </si>
  <si>
    <t xml:space="preserve">https://www.suin-juriscol.gov.co/legislacion/?q=Decreto%201377%20de%202013</t>
  </si>
  <si>
    <t xml:space="preserve">Datos personales; hoy compilado en el Decreto 1074 de 2015.</t>
  </si>
  <si>
    <t xml:space="preserve">Consumidor financiero.</t>
  </si>
  <si>
    <t xml:space="preserve">decision_345_1993</t>
  </si>
  <si>
    <t xml:space="preserve">Decisión Andina 345 de 1993 (derechos de obtentores de variedades vegetales)</t>
  </si>
  <si>
    <t xml:space="preserve">http://www.secretariasenado.gov.co/senado/basedoc/?q=Decision%20andina%20345</t>
  </si>
  <si>
    <t xml:space="preserve">Propiedad intelectual, cobertura marginal.</t>
  </si>
  <si>
    <t xml:space="preserve">ley_1915_2018</t>
  </si>
  <si>
    <t xml:space="preserve">Modificación a la Ley 23 de 1982 (Ley 1915 de 2018)</t>
  </si>
  <si>
    <t xml:space="preserve">http://www.secretariasenado.gov.co/senado/basedoc/ley_1915_2018.html</t>
  </si>
  <si>
    <t xml:space="preserve">Derecho de autor; vigencia temporal.</t>
  </si>
  <si>
    <t xml:space="preserve">ley_44_1993</t>
  </si>
  <si>
    <t xml:space="preserve">Modificación al régimen de derechos de autor (Ley 44 de 1993)</t>
  </si>
  <si>
    <t xml:space="preserve">http://www.secretariasenado.gov.co/senado/basedoc/ley_0044_1993.html</t>
  </si>
  <si>
    <t xml:space="preserve">Derecho de autor.</t>
  </si>
  <si>
    <t xml:space="preserve">sentencia_c-1011_2008</t>
  </si>
  <si>
    <t xml:space="preserve">Sentencia C-1011 de 2008 · control de la ley estatutaria de hábeas data financiero</t>
  </si>
  <si>
    <t xml:space="preserve">https://www.corteconstitucional.gov.co/relatoria/?q=Sentencia%20C-1011%20de%202008</t>
  </si>
  <si>
    <t xml:space="preserve">Complementa la C-748 de 2011 (en el seed).</t>
  </si>
  <si>
    <t xml:space="preserve">sentencia_c-1141_2000</t>
  </si>
  <si>
    <t xml:space="preserve">Sentencia C-1141 de 2000 · responsabilidad del productor frente al consumidor</t>
  </si>
  <si>
    <t xml:space="preserve">https://www.corteconstitucional.gov.co/relatoria/?q=Sentencia%20C-1141%20de%202000</t>
  </si>
  <si>
    <t xml:space="preserve">Protección al consumidor.</t>
  </si>
  <si>
    <t xml:space="preserve">decisiones_sic_por_verificar</t>
  </si>
  <si>
    <t xml:space="preserve">Decisiones de la SIC en competencia, consumidor y datos personales</t>
  </si>
  <si>
    <t xml:space="preserve">decisión administrativa</t>
  </si>
  <si>
    <t xml:space="preserve">SIC</t>
  </si>
  <si>
    <t xml:space="preserve">https://www.sic.gov.co</t>
  </si>
  <si>
    <t xml:space="preserve">Sentido del fallo en actuaciones de la SIC; seleccionar casos con los compañeros de derecho.</t>
  </si>
  <si>
    <t xml:space="preserve">https://www.wipo.int/edocs/mdocs/mdocs/en/wipo_ip_bog_12/wipo_ip_bog_12_ref_u14b_aleman.pdf</t>
  </si>
  <si>
    <t xml:space="preserve">Documento de la OMPI (URL de wipo.int) · Fuente no admitida: no se puede incorporar.</t>
  </si>
  <si>
    <t xml:space="preserve">Inventario consolidado · un registro por documento (prioridad = la más alta entre sus áreas)</t>
  </si>
  <si>
    <t xml:space="preserve">áreas</t>
  </si>
  <si>
    <t xml:space="preserve">Administrativo, Comercial, Constitucional, Familia, Laboral, Mercados, Penal, Procesal, Tributario</t>
  </si>
  <si>
    <t xml:space="preserve">Comercial, Mercados</t>
  </si>
  <si>
    <t xml:space="preserve">Civil, Constitucional, Tributario</t>
  </si>
  <si>
    <t xml:space="preserve">Comercial, Procesal</t>
  </si>
  <si>
    <t xml:space="preserve">Civil, Mercados</t>
  </si>
  <si>
    <t xml:space="preserve">Civil, Tributario</t>
  </si>
  <si>
    <t xml:space="preserve">Civil, Comercial, Familia, Mercados, Penal, Procesal, Tributario</t>
  </si>
  <si>
    <t xml:space="preserve">Administrativo, Constitucional, Mercados</t>
  </si>
  <si>
    <t xml:space="preserve">Civil, Procesal</t>
  </si>
  <si>
    <t xml:space="preserve">Administrativo, Laboral</t>
  </si>
  <si>
    <t xml:space="preserve">Constitucional, Penal</t>
  </si>
  <si>
    <t xml:space="preserve">Constitucional, Laboral</t>
  </si>
  <si>
    <t xml:space="preserve">Constitucional, Familia</t>
  </si>
  <si>
    <t xml:space="preserve">Administrativo, Procesal</t>
  </si>
  <si>
    <t xml:space="preserve">Procesal, Tributario</t>
  </si>
  <si>
    <t xml:space="preserve">Administrativo, Constitucional</t>
  </si>
  <si>
    <t xml:space="preserve">Constitucional, Procesal</t>
  </si>
  <si>
    <t xml:space="preserve">Civil, Familia</t>
  </si>
  <si>
    <t xml:space="preserve">Penal, Procesal</t>
  </si>
  <si>
    <t xml:space="preserve">Laboral, Procesal</t>
  </si>
  <si>
    <t xml:space="preserve">Familia, Penal</t>
  </si>
  <si>
    <t xml:space="preserve">Civil, Comercial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</si>
</sst>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D9EA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0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Estatuto%20tributario" TargetMode="External"/><Relationship Id="rId3" Type="http://schemas.openxmlformats.org/officeDocument/2006/relationships/hyperlink" Target="https://www.corteconstitucional.gov.co/relatoria/?q=Sentencia%20C-355%20de%202006" TargetMode="External"/><Relationship Id="rId4" Type="http://schemas.openxmlformats.org/officeDocument/2006/relationships/hyperlink" Target="https://www.suin-juriscol.gov.co/legislacion/?q=Ley%201581%20de%202012" TargetMode="External"/><Relationship Id="rId5" Type="http://schemas.openxmlformats.org/officeDocument/2006/relationships/hyperlink" Target="https://www.suin-juriscol.gov.co/legislacion/?q=Decreto%202067%20de%201991" TargetMode="External"/><Relationship Id="rId6" Type="http://schemas.openxmlformats.org/officeDocument/2006/relationships/hyperlink" Target="https://www.corteconstitucional.gov.co/relatoria/?q=Sentencia%20C-332%20de%202025" TargetMode="External"/><Relationship Id="rId7" Type="http://schemas.openxmlformats.org/officeDocument/2006/relationships/hyperlink" Target="https://www.corteconstitucional.gov.co/relatoria/?q=Sentencia%20T-323%20de%202024" TargetMode="External"/><Relationship Id="rId8" Type="http://schemas.openxmlformats.org/officeDocument/2006/relationships/hyperlink" Target="https://www.corteconstitucional.gov.co/relatoria/?q=Sentencia%20C-55%20de%202022" TargetMode="External"/><Relationship Id="rId9" Type="http://schemas.openxmlformats.org/officeDocument/2006/relationships/hyperlink" Target="https://www.corteconstitucional.gov.co/relatoria/?q=Sentencia%20C-394%20de%202017" TargetMode="External"/><Relationship Id="rId10" Type="http://schemas.openxmlformats.org/officeDocument/2006/relationships/hyperlink" Target="https://www.corteconstitucional.gov.co/relatoria/?q=Sentencia%20T-760%20de%202008" TargetMode="External"/><Relationship Id="rId11" Type="http://schemas.openxmlformats.org/officeDocument/2006/relationships/hyperlink" Target="https://www.suin-juriscol.gov.co/legislacion/?q=Ley%201095%20de%202006" TargetMode="External"/><Relationship Id="rId12" Type="http://schemas.openxmlformats.org/officeDocument/2006/relationships/hyperlink" Target="https://www.suin-juriscol.gov.co/legislacion/?q=Ley%202141%20de%202021" TargetMode="External"/><Relationship Id="rId13" Type="http://schemas.openxmlformats.org/officeDocument/2006/relationships/hyperlink" Target="https://www.corteconstitucional.gov.co/relatoria/?q=Sentencia%20C-15%20de%202018" TargetMode="External"/><Relationship Id="rId14" Type="http://schemas.openxmlformats.org/officeDocument/2006/relationships/hyperlink" Target="https://www.corteconstitucional.gov.co/relatoria/?q=Sentencia%20C-94%20de%202021" TargetMode="External"/><Relationship Id="rId15" Type="http://schemas.openxmlformats.org/officeDocument/2006/relationships/hyperlink" Target="https://www.corteconstitucional.gov.co/relatoria/?q=Sentencia%20C-127%20de%202011" TargetMode="External"/><Relationship Id="rId16" Type="http://schemas.openxmlformats.org/officeDocument/2006/relationships/hyperlink" Target="https://www.corteconstitucional.gov.co/relatoria/?q=Sentencia%20C-134%20de%202019" TargetMode="External"/><Relationship Id="rId17" Type="http://schemas.openxmlformats.org/officeDocument/2006/relationships/hyperlink" Target="https://www.corteconstitucional.gov.co/relatoria/?q=Sentencia%20C-164%20de%202022" TargetMode="External"/><Relationship Id="rId18" Type="http://schemas.openxmlformats.org/officeDocument/2006/relationships/hyperlink" Target="https://www.corteconstitucional.gov.co/relatoria/?q=Sentencia%20C-431%20de%202001" TargetMode="External"/><Relationship Id="rId19" Type="http://schemas.openxmlformats.org/officeDocument/2006/relationships/hyperlink" Target="https://www.corteconstitucional.gov.co/relatoria/?q=Sentencia%20C-582%20de%201999" TargetMode="External"/><Relationship Id="rId20" Type="http://schemas.openxmlformats.org/officeDocument/2006/relationships/hyperlink" Target="https://www.corteconstitucional.gov.co/relatoria/?q=Sentencia%20C-746%20de%202011" TargetMode="External"/><Relationship Id="rId21" Type="http://schemas.openxmlformats.org/officeDocument/2006/relationships/hyperlink" Target="https://www.corteconstitucional.gov.co/relatoria/?q=Sentencia%20T-547%20de%202017" TargetMode="External"/><Relationship Id="rId22" Type="http://schemas.openxmlformats.org/officeDocument/2006/relationships/hyperlink" Target="https://www.suin-juriscol.gov.co/legislacion/?q=Acuerdo%2002%20de%202015" TargetMode="External"/><Relationship Id="rId23" Type="http://schemas.openxmlformats.org/officeDocument/2006/relationships/hyperlink" Target="https://www.suin-juriscol.gov.co/legislacion/?q=Ley%2011500%20de%202007" TargetMode="External"/><Relationship Id="rId24" Type="http://schemas.openxmlformats.org/officeDocument/2006/relationships/hyperlink" Target="https://www.suin-juriscol.gov.co/legislacion/?q=Ley%201909%20de%202018" TargetMode="External"/><Relationship Id="rId25" Type="http://schemas.openxmlformats.org/officeDocument/2006/relationships/hyperlink" Target="https://www.suin-juriscol.gov.co/legislacion/?q=Ley%2023%20de%201961" TargetMode="External"/><Relationship Id="rId26" Type="http://schemas.openxmlformats.org/officeDocument/2006/relationships/hyperlink" Target="https://www.corteconstitucional.gov.co/relatoria/?q=Sentencia%20C-22%20de%201996" TargetMode="External"/><Relationship Id="rId27" Type="http://schemas.openxmlformats.org/officeDocument/2006/relationships/hyperlink" Target="https://www.corteconstitucional.gov.co/relatoria/?q=Sentencia%20C-106%20de%202018" TargetMode="External"/><Relationship Id="rId28" Type="http://schemas.openxmlformats.org/officeDocument/2006/relationships/hyperlink" Target="https://www.corteconstitucional.gov.co/relatoria/?q=Sentencia%20C-145%20de%202020" TargetMode="External"/><Relationship Id="rId29" Type="http://schemas.openxmlformats.org/officeDocument/2006/relationships/hyperlink" Target="https://www.corteconstitucional.gov.co/relatoria/?q=Sentencia%20C-149%20de%201993" TargetMode="External"/><Relationship Id="rId30" Type="http://schemas.openxmlformats.org/officeDocument/2006/relationships/hyperlink" Target="https://www.corteconstitucional.gov.co/relatoria/?q=Sentencia%20C-225%20de%201995" TargetMode="External"/><Relationship Id="rId31" Type="http://schemas.openxmlformats.org/officeDocument/2006/relationships/hyperlink" Target="https://www.corteconstitucional.gov.co/relatoria/?q=Sentencia%20C-233%20de%202021" TargetMode="External"/><Relationship Id="rId32" Type="http://schemas.openxmlformats.org/officeDocument/2006/relationships/hyperlink" Target="https://www.corteconstitucional.gov.co/relatoria/?q=Sentencia%20C-239%20de%201997" TargetMode="External"/><Relationship Id="rId33" Type="http://schemas.openxmlformats.org/officeDocument/2006/relationships/hyperlink" Target="https://www.corteconstitucional.gov.co/relatoria/?q=Sentencia%20C-459%20de%202023" TargetMode="External"/><Relationship Id="rId34" Type="http://schemas.openxmlformats.org/officeDocument/2006/relationships/hyperlink" Target="https://www.corteconstitucional.gov.co/relatoria/?q=Sentencia%20C-700%20de%201999" TargetMode="External"/><Relationship Id="rId35" Type="http://schemas.openxmlformats.org/officeDocument/2006/relationships/hyperlink" Target="https://www.corteconstitucional.gov.co/relatoria/?q=Sentencia%20T-67%20de%202025" TargetMode="External"/><Relationship Id="rId36" Type="http://schemas.openxmlformats.org/officeDocument/2006/relationships/hyperlink" Target="https://www.corteconstitucional.gov.co/relatoria/?q=Sentencia%20T-1001%20de%202001" TargetMode="External"/><Relationship Id="rId37" Type="http://schemas.openxmlformats.org/officeDocument/2006/relationships/hyperlink" Target="https://www.corteconstitucional.gov.co/relatoria/?q=Sentencia%20T-230%20de%202023" TargetMode="External"/><Relationship Id="rId38" Type="http://schemas.openxmlformats.org/officeDocument/2006/relationships/hyperlink" Target="https://www.corteconstitucional.gov.co/relatoria/?q=Sentencia%20T-262%20de%202025" TargetMode="External"/><Relationship Id="rId39" Type="http://schemas.openxmlformats.org/officeDocument/2006/relationships/hyperlink" Target="https://www.corteconstitucional.gov.co/relatoria/?q=Sentencia%20T-325%20de%202025" TargetMode="External"/><Relationship Id="rId40" Type="http://schemas.openxmlformats.org/officeDocument/2006/relationships/hyperlink" Target="https://www.corteconstitucional.gov.co/relatoria/?q=Sentencia%20T-429%20de%202011" TargetMode="External"/><Relationship Id="rId41" Type="http://schemas.openxmlformats.org/officeDocument/2006/relationships/hyperlink" Target="https://www.corteconstitucional.gov.co/relatoria/?q=Sentencia%20T-445%20de%202024" TargetMode="External"/><Relationship Id="rId42" Type="http://schemas.openxmlformats.org/officeDocument/2006/relationships/hyperlink" Target="https://www.corteconstitucional.gov.co/relatoria/?q=Sentencia%20T-925%20de%202014" TargetMode="External"/><Relationship Id="rId43" Type="http://schemas.openxmlformats.org/officeDocument/2006/relationships/hyperlink" Target="https://www.corteconstitucional.gov.co/relatoria/?q=Sentencia%20T-970%20de%202014" TargetMode="External"/><Relationship Id="rId44" Type="http://schemas.openxmlformats.org/officeDocument/2006/relationships/hyperlink" Target="http://www.secretariasenado.gov.co/senado/basedoc/decreto_2591_1991.html" TargetMode="External"/><Relationship Id="rId45" Type="http://schemas.openxmlformats.org/officeDocument/2006/relationships/hyperlink" Target="http://www.secretariasenado.gov.co/senado/basedoc/ley_0270_1996.html" TargetMode="External"/><Relationship Id="rId46" Type="http://schemas.openxmlformats.org/officeDocument/2006/relationships/hyperlink" Target="http://www.secretariasenado.gov.co/senado/basedoc/ley_0472_1998.html" TargetMode="External"/><Relationship Id="rId47" Type="http://schemas.openxmlformats.org/officeDocument/2006/relationships/hyperlink" Target="https://www.suin-juriscol.gov.co/legislacion/?q=Decreto%20333%20de%202021" TargetMode="External"/><Relationship Id="rId48" Type="http://schemas.openxmlformats.org/officeDocument/2006/relationships/hyperlink" Target="http://www.secretariasenado.gov.co/senado/basedoc/ley_0134_1994.html" TargetMode="External"/><Relationship Id="rId49" Type="http://schemas.openxmlformats.org/officeDocument/2006/relationships/hyperlink" Target="http://www.secretariasenado.gov.co/senado/basedoc/ley_1712_2014.html" TargetMode="External"/><Relationship Id="rId50" Type="http://schemas.openxmlformats.org/officeDocument/2006/relationships/hyperlink" Target="http://www.secretariasenado.gov.co/senado/basedoc/ley_1751_2015.html" TargetMode="External"/><Relationship Id="rId51" Type="http://schemas.openxmlformats.org/officeDocument/2006/relationships/hyperlink" Target="http://www.secretariasenado.gov.co/senado/basedoc/ley_1757_2015.html" TargetMode="External"/><Relationship Id="rId52" Type="http://schemas.openxmlformats.org/officeDocument/2006/relationships/hyperlink" Target="http://www.secretariasenado.gov.co/senado/basedoc/ley_0393_1997.html" TargetMode="External"/><Relationship Id="rId53" Type="http://schemas.openxmlformats.org/officeDocument/2006/relationships/hyperlink" Target="http://www.secretariasenado.gov.co/senado/basedoc/ley_0005_1992.html" TargetMode="External"/><Relationship Id="rId54" Type="http://schemas.openxmlformats.org/officeDocument/2006/relationships/hyperlink" Target="https://www.suin-juriscol.gov.co/legislacion/?q=Decreto%20306%20de%201992" TargetMode="External"/><Relationship Id="rId55" Type="http://schemas.openxmlformats.org/officeDocument/2006/relationships/hyperlink" Target="https://www.corteconstitucional.gov.co/relatoria/?q=Sentencia%20C-468%20de%202024" TargetMode="External"/><Relationship Id="rId56" Type="http://schemas.openxmlformats.org/officeDocument/2006/relationships/hyperlink" Target="https://www.corteconstitucional.gov.co/relatoria/?q=Sentencia%20SU-016%20de%202020" TargetMode="External"/><Relationship Id="rId57" Type="http://schemas.openxmlformats.org/officeDocument/2006/relationships/hyperlink" Target="https://www.corteconstitucional.gov.co/relatoria/?q=Sentencia%20T-256%20de%202025" TargetMode="External"/><Relationship Id="rId58" Type="http://schemas.openxmlformats.org/officeDocument/2006/relationships/hyperlink" Target="https://www.corteconstitucional.gov.co/relatoria/?q=Sentencia%20C-093%20de%202001" TargetMode="External"/><Relationship Id="rId59" Type="http://schemas.openxmlformats.org/officeDocument/2006/relationships/hyperlink" Target="https://www.corteconstitucional.gov.co/relatoria/?q=Sentencia%20C-141%20de%202010" TargetMode="External"/><Relationship Id="rId60" Type="http://schemas.openxmlformats.org/officeDocument/2006/relationships/hyperlink" Target="https://www.corteconstitucional.gov.co/relatoria/?q=Sentencia%20C-551%20de%202003" TargetMode="External"/><Relationship Id="rId61" Type="http://schemas.openxmlformats.org/officeDocument/2006/relationships/hyperlink" Target="https://www.corteconstitucional.gov.co/relatoria/?q=Sentencia%20C-590%20de%202005" TargetMode="External"/><Relationship Id="rId62" Type="http://schemas.openxmlformats.org/officeDocument/2006/relationships/hyperlink" Target="https://www.corteconstitucional.gov.co/relatoria/?q=Sentencia%20C-836%20de%202001" TargetMode="External"/><Relationship Id="rId63" Type="http://schemas.openxmlformats.org/officeDocument/2006/relationships/hyperlink" Target="https://www.corteconstitucional.gov.co/relatoria/?q=Sentencia%20SU-047%20de%201999" TargetMode="External"/><Relationship Id="rId64" Type="http://schemas.openxmlformats.org/officeDocument/2006/relationships/hyperlink" Target="https://www.corteconstitucional.gov.co/relatoria/?q=Sentencia%20T-025%20de%202004" TargetMode="External"/><Relationship Id="rId65" Type="http://schemas.openxmlformats.org/officeDocument/2006/relationships/hyperlink" Target="https://www.corteconstitucional.gov.co/relatoria/?q=Sentencia%20T-406%20de%201992" TargetMode="External"/><Relationship Id="rId66" Type="http://schemas.openxmlformats.org/officeDocument/2006/relationships/hyperlink" Target="https://www.corteconstitucional.gov.co/relatoria/?q=Sentencia%20T-881%20de%20200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s://www.suin-juriscol.gov.co/legislacion/?q=Ley%2080%20de%201993" TargetMode="External"/><Relationship Id="rId3" Type="http://schemas.openxmlformats.org/officeDocument/2006/relationships/hyperlink" Target="https://www.suin-juriscol.gov.co/legislacion/?q=Ley%201581%20de%202012" TargetMode="External"/><Relationship Id="rId4" Type="http://schemas.openxmlformats.org/officeDocument/2006/relationships/hyperlink" Target="https://www.suin-juriscol.gov.co/legislacion/?q=Ley%201150%20de%202007" TargetMode="External"/><Relationship Id="rId5" Type="http://schemas.openxmlformats.org/officeDocument/2006/relationships/hyperlink" Target="https://www.suin-juriscol.gov.co/legislacion/?q=Decreto%201082%20de%202015" TargetMode="External"/><Relationship Id="rId6" Type="http://schemas.openxmlformats.org/officeDocument/2006/relationships/hyperlink" Target="https://www.suin-juriscol.gov.co/legislacion/?q=Ley%201755%20de%202015" TargetMode="External"/><Relationship Id="rId7" Type="http://schemas.openxmlformats.org/officeDocument/2006/relationships/hyperlink" Target="http://www.secretariasenado.gov.co/senado/basedoc/?q=Codigo%20disciplinario" TargetMode="External"/><Relationship Id="rId8" Type="http://schemas.openxmlformats.org/officeDocument/2006/relationships/hyperlink" Target="https://www.corteconstitucional.gov.co/relatoria/?q=Sentencia%20C-207%20de%202019" TargetMode="External"/><Relationship Id="rId9" Type="http://schemas.openxmlformats.org/officeDocument/2006/relationships/hyperlink" Target="https://www.corteconstitucional.gov.co/relatoria/?q=Sentencia%20T-760%20de%202008" TargetMode="External"/><Relationship Id="rId10" Type="http://schemas.openxmlformats.org/officeDocument/2006/relationships/hyperlink" Target="https://www.corteconstitucional.gov.co/relatoria/?q=Sentencia%20C-259%20de%202015" TargetMode="External"/><Relationship Id="rId11" Type="http://schemas.openxmlformats.org/officeDocument/2006/relationships/hyperlink" Target="https://www.corteconstitucional.gov.co/relatoria/?q=Sentencia%20SU-11%20de%202020" TargetMode="External"/><Relationship Id="rId12" Type="http://schemas.openxmlformats.org/officeDocument/2006/relationships/hyperlink" Target="https://www.corteconstitucional.gov.co/relatoria/?q=Sentencia%20SU-240%20de%202015" TargetMode="External"/><Relationship Id="rId13" Type="http://schemas.openxmlformats.org/officeDocument/2006/relationships/hyperlink" Target="https://www.corteconstitucional.gov.co/relatoria/?q=Sentencia%20SU-488%20de%202011" TargetMode="External"/><Relationship Id="rId14" Type="http://schemas.openxmlformats.org/officeDocument/2006/relationships/hyperlink" Target="https://www.corteconstitucional.gov.co/relatoria/?q=Sentencia%20SU-566%20de%202015" TargetMode="External"/><Relationship Id="rId15" Type="http://schemas.openxmlformats.org/officeDocument/2006/relationships/hyperlink" Target="https://www.suin-juriscol.gov.co/legislacion/?q=Ley%201150%20de%202005" TargetMode="External"/><Relationship Id="rId16" Type="http://schemas.openxmlformats.org/officeDocument/2006/relationships/hyperlink" Target="https://www.suin-juriscol.gov.co/legislacion/?q=Ley%201151%20de%202007" TargetMode="External"/><Relationship Id="rId17" Type="http://schemas.openxmlformats.org/officeDocument/2006/relationships/hyperlink" Target="https://www.suin-juriscol.gov.co/legislacion/?q=Ley%202160%20de%202021" TargetMode="External"/><Relationship Id="rId18" Type="http://schemas.openxmlformats.org/officeDocument/2006/relationships/hyperlink" Target="https://www.corteconstitucional.gov.co/relatoria/?q=Sentencia%20SU-6%20de%201991" TargetMode="External"/><Relationship Id="rId19" Type="http://schemas.openxmlformats.org/officeDocument/2006/relationships/hyperlink" Target="http://www.secretariasenado.gov.co/senado/basedoc/ley_1437_2011.html" TargetMode="External"/><Relationship Id="rId20" Type="http://schemas.openxmlformats.org/officeDocument/2006/relationships/hyperlink" Target="http://www.secretariasenado.gov.co/senado/basedoc/ley_0472_1998.html" TargetMode="External"/><Relationship Id="rId21" Type="http://schemas.openxmlformats.org/officeDocument/2006/relationships/hyperlink" Target="http://www.secretariasenado.gov.co/senado/basedoc/ley_0489_1998.html" TargetMode="External"/><Relationship Id="rId22" Type="http://schemas.openxmlformats.org/officeDocument/2006/relationships/hyperlink" Target="https://www.suin-juriscol.gov.co/legislacion/?q=Decreto%201083%20de%202015" TargetMode="External"/><Relationship Id="rId23" Type="http://schemas.openxmlformats.org/officeDocument/2006/relationships/hyperlink" Target="http://www.secretariasenado.gov.co/senado/basedoc/ley_0136_1994.html" TargetMode="External"/><Relationship Id="rId24" Type="http://schemas.openxmlformats.org/officeDocument/2006/relationships/hyperlink" Target="http://www.secretariasenado.gov.co/senado/basedoc/ley_1474_2011.html" TargetMode="External"/><Relationship Id="rId25" Type="http://schemas.openxmlformats.org/officeDocument/2006/relationships/hyperlink" Target="http://www.secretariasenado.gov.co/senado/basedoc/ley_1882_2018.html" TargetMode="External"/><Relationship Id="rId26" Type="http://schemas.openxmlformats.org/officeDocument/2006/relationships/hyperlink" Target="http://www.secretariasenado.gov.co/senado/basedoc/ley_2080_2021.html" TargetMode="External"/><Relationship Id="rId27" Type="http://schemas.openxmlformats.org/officeDocument/2006/relationships/hyperlink" Target="http://www.secretariasenado.gov.co/senado/basedoc/ley_2094_2021.html" TargetMode="External"/><Relationship Id="rId28" Type="http://schemas.openxmlformats.org/officeDocument/2006/relationships/hyperlink" Target="http://www.secretariasenado.gov.co/senado/basedoc/ley_0610_2000.html" TargetMode="External"/><Relationship Id="rId29" Type="http://schemas.openxmlformats.org/officeDocument/2006/relationships/hyperlink" Target="http://www.secretariasenado.gov.co/senado/basedoc/ley_0909_2004.html" TargetMode="External"/><Relationship Id="rId30" Type="http://schemas.openxmlformats.org/officeDocument/2006/relationships/hyperlink" Target="https://www.suin-juriscol.gov.co/legislacion/?q=Resoluci&#243;n%20368%20de%202014" TargetMode="External"/><Relationship Id="rId31" Type="http://schemas.openxmlformats.org/officeDocument/2006/relationships/hyperlink" Target="https://www.suin-juriscol.gov.co/legislacion/?q=Decreto%2019%20de%202012" TargetMode="External"/><Relationship Id="rId32" Type="http://schemas.openxmlformats.org/officeDocument/2006/relationships/hyperlink" Target="http://www.secretariasenado.gov.co/senado/basedoc/ley_1551_2012.html" TargetMode="External"/><Relationship Id="rId33" Type="http://schemas.openxmlformats.org/officeDocument/2006/relationships/hyperlink" Target="http://www.secretariasenado.gov.co/senado/basedoc/ley_2195_2022.html" TargetMode="External"/><Relationship Id="rId34" Type="http://schemas.openxmlformats.org/officeDocument/2006/relationships/hyperlink" Target="http://www.secretariasenado.gov.co/senado/basedoc/ley_0042_1993.html" TargetMode="External"/><Relationship Id="rId35" Type="http://schemas.openxmlformats.org/officeDocument/2006/relationships/hyperlink" Target="https://www.corteconstitucional.gov.co/relatoria/?q=Sentencia%20SU-277%20de%202025" TargetMode="External"/><Relationship Id="rId36" Type="http://schemas.openxmlformats.org/officeDocument/2006/relationships/hyperlink" Target="https://www.consejodeestado.gov.co/" TargetMode="External"/><Relationship Id="rId37" Type="http://schemas.openxmlformats.org/officeDocument/2006/relationships/hyperlink" Target="https://www.corteconstitucional.gov.co/relatoria/?q=Sentencia%20C-634%20de%202011" TargetMode="External"/><Relationship Id="rId38" Type="http://schemas.openxmlformats.org/officeDocument/2006/relationships/hyperlink" Target="https://www.corteconstitucional.gov.co/relatoria/?q=Sentencia%20C-816%20de%202011" TargetMode="External"/><Relationship Id="rId39" Type="http://schemas.openxmlformats.org/officeDocument/2006/relationships/hyperlink" Target="https://www.corteconstitucional.gov.co/relatoria/?q=Sentencia%20C-818%20de%202011" TargetMode="External"/><Relationship Id="rId40" Type="http://schemas.openxmlformats.org/officeDocument/2006/relationships/hyperlink" Target="https://www.corteconstitucional.gov.co/relatoria/?q=Sentencia%20C-951%20de%202014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Codigo%20general%20proceso" TargetMode="External"/><Relationship Id="rId3" Type="http://schemas.openxmlformats.org/officeDocument/2006/relationships/hyperlink" Target="https://www.corteconstitucional.gov.co/relatoria/?q=Sentencia%20C-355%20de%202006" TargetMode="External"/><Relationship Id="rId4" Type="http://schemas.openxmlformats.org/officeDocument/2006/relationships/hyperlink" Target="https://www.corteconstitucional.gov.co/relatoria/?q=Sentencia%20C-55%20de%202022" TargetMode="External"/><Relationship Id="rId5" Type="http://schemas.openxmlformats.org/officeDocument/2006/relationships/hyperlink" Target="https://www.suin-juriscol.gov.co/legislacion/?q=Ley%201095%20de%202006" TargetMode="External"/><Relationship Id="rId6" Type="http://schemas.openxmlformats.org/officeDocument/2006/relationships/hyperlink" Target="https://www.corteconstitucional.gov.co/relatoria/?q=Sentencia%20C-15%20de%202018" TargetMode="External"/><Relationship Id="rId7" Type="http://schemas.openxmlformats.org/officeDocument/2006/relationships/hyperlink" Target="https://www.corteconstitucional.gov.co/relatoria/?q=Sentencia%20C-164%20de%202022" TargetMode="External"/><Relationship Id="rId8" Type="http://schemas.openxmlformats.org/officeDocument/2006/relationships/hyperlink" Target="https://www.corteconstitucional.gov.co/relatoria/?q=Sentencia%20C-431%20de%202001" TargetMode="External"/><Relationship Id="rId9" Type="http://schemas.openxmlformats.org/officeDocument/2006/relationships/hyperlink" Target="https://www.corteconstitucional.gov.co/relatoria/?q=Sentencia%20SP-1680%20de%202022" TargetMode="External"/><Relationship Id="rId10" Type="http://schemas.openxmlformats.org/officeDocument/2006/relationships/hyperlink" Target="https://www.corteconstitucional.gov.co/relatoria/?q=Sentencia%20SP-1945%20de%202019" TargetMode="External"/><Relationship Id="rId11" Type="http://schemas.openxmlformats.org/officeDocument/2006/relationships/hyperlink" Target="https://www.corteconstitucional.gov.co/relatoria/?q=Sentencia%20SU-429%20de%202024" TargetMode="External"/><Relationship Id="rId12" Type="http://schemas.openxmlformats.org/officeDocument/2006/relationships/hyperlink" Target="https://www.suin-juriscol.gov.co/legislacion/?q=Decreto%20780%20de%202016" TargetMode="External"/><Relationship Id="rId13" Type="http://schemas.openxmlformats.org/officeDocument/2006/relationships/hyperlink" Target="https://www.suin-juriscol.gov.co/legislacion/?q=Ley%20600%20de%202000" TargetMode="External"/><Relationship Id="rId14" Type="http://schemas.openxmlformats.org/officeDocument/2006/relationships/hyperlink" Target="https://www.corteconstitucional.gov.co/relatoria/?q=Sentencia%20C-1189%20de%202000" TargetMode="External"/><Relationship Id="rId15" Type="http://schemas.openxmlformats.org/officeDocument/2006/relationships/hyperlink" Target="https://www.corteconstitucional.gov.co/relatoria/?q=Sentencia%20C-335%20de%202008" TargetMode="External"/><Relationship Id="rId16" Type="http://schemas.openxmlformats.org/officeDocument/2006/relationships/hyperlink" Target="https://www.corteconstitucional.gov.co/relatoria/?q=Sentencia%20SP-1167%20de%202022" TargetMode="External"/><Relationship Id="rId17" Type="http://schemas.openxmlformats.org/officeDocument/2006/relationships/hyperlink" Target="https://www.corteconstitucional.gov.co/relatoria/?q=Sentencia%20SP-3218%20de%202021" TargetMode="External"/><Relationship Id="rId18" Type="http://schemas.openxmlformats.org/officeDocument/2006/relationships/hyperlink" Target="https://www.corteconstitucional.gov.co/relatoria/?q=Sentencia%20T-248%20de%202025" TargetMode="External"/><Relationship Id="rId19" Type="http://schemas.openxmlformats.org/officeDocument/2006/relationships/hyperlink" Target="http://www.secretariasenado.gov.co/senado/basedoc/ley_0599_2000.html" TargetMode="External"/><Relationship Id="rId20" Type="http://schemas.openxmlformats.org/officeDocument/2006/relationships/hyperlink" Target="http://www.secretariasenado.gov.co/senado/basedoc/ley_0906_2004.html" TargetMode="External"/><Relationship Id="rId21" Type="http://schemas.openxmlformats.org/officeDocument/2006/relationships/hyperlink" Target="http://www.secretariasenado.gov.co/senado/basedoc/ley_1257_2008.html" TargetMode="External"/><Relationship Id="rId22" Type="http://schemas.openxmlformats.org/officeDocument/2006/relationships/hyperlink" Target="http://www.secretariasenado.gov.co/senado/basedoc/ley_1453_2011.html" TargetMode="External"/><Relationship Id="rId23" Type="http://schemas.openxmlformats.org/officeDocument/2006/relationships/hyperlink" Target="http://www.secretariasenado.gov.co/senado/basedoc/ley_1709_2014.html" TargetMode="External"/><Relationship Id="rId24" Type="http://schemas.openxmlformats.org/officeDocument/2006/relationships/hyperlink" Target="http://www.secretariasenado.gov.co/senado/basedoc/ley_1761_2015.html" TargetMode="External"/><Relationship Id="rId25" Type="http://schemas.openxmlformats.org/officeDocument/2006/relationships/hyperlink" Target="http://www.secretariasenado.gov.co/senado/basedoc/ley_1826_2017.html" TargetMode="External"/><Relationship Id="rId26" Type="http://schemas.openxmlformats.org/officeDocument/2006/relationships/hyperlink" Target="http://www.secretariasenado.gov.co/senado/basedoc/ley_0065_1993.html" TargetMode="External"/><Relationship Id="rId27" Type="http://schemas.openxmlformats.org/officeDocument/2006/relationships/hyperlink" Target="http://www.secretariasenado.gov.co/senado/basedoc/ley_1121_2006.html" TargetMode="External"/><Relationship Id="rId28" Type="http://schemas.openxmlformats.org/officeDocument/2006/relationships/hyperlink" Target="http://www.secretariasenado.gov.co/senado/basedoc/ley_1273_2009.html" TargetMode="External"/><Relationship Id="rId29" Type="http://schemas.openxmlformats.org/officeDocument/2006/relationships/hyperlink" Target="http://www.secretariasenado.gov.co/senado/basedoc/ley_2098_2021.html" TargetMode="External"/><Relationship Id="rId30" Type="http://schemas.openxmlformats.org/officeDocument/2006/relationships/hyperlink" Target="http://www.secretariasenado.gov.co/senado/basedoc/ley_2197_2022.html" TargetMode="External"/><Relationship Id="rId31" Type="http://schemas.openxmlformats.org/officeDocument/2006/relationships/hyperlink" Target="https://cortesuprema.gov.co/" TargetMode="External"/><Relationship Id="rId32" Type="http://schemas.openxmlformats.org/officeDocument/2006/relationships/hyperlink" Target="https://www.corteconstitucional.gov.co/relatoria/?q=Sentencia%20C-221%20de%201994" TargetMode="External"/><Relationship Id="rId33" Type="http://schemas.openxmlformats.org/officeDocument/2006/relationships/hyperlink" Target="https://www.corteconstitucional.gov.co/relatoria/?q=Sentencia%20C-294%20de%202021" TargetMode="External"/><Relationship Id="rId34" Type="http://schemas.openxmlformats.org/officeDocument/2006/relationships/hyperlink" Target="https://www.corteconstitucional.gov.co/relatoria/?q=Sentencia%20C-591%20de%202005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Codigo%20general%20proceso" TargetMode="External"/><Relationship Id="rId3" Type="http://schemas.openxmlformats.org/officeDocument/2006/relationships/hyperlink" Target="https://www.suin-juriscol.gov.co/legislacion/?q=Ley%202220%20de%202022" TargetMode="External"/><Relationship Id="rId4" Type="http://schemas.openxmlformats.org/officeDocument/2006/relationships/hyperlink" Target="https://www.suin-juriscol.gov.co/legislacion/?q=Ley%201116%20de%202006" TargetMode="External"/><Relationship Id="rId5" Type="http://schemas.openxmlformats.org/officeDocument/2006/relationships/hyperlink" Target="https://www.suin-juriscol.gov.co/legislacion/?q=Ley%202437%20de%202024" TargetMode="External"/><Relationship Id="rId6" Type="http://schemas.openxmlformats.org/officeDocument/2006/relationships/hyperlink" Target="https://www.corteconstitucional.gov.co/relatoria/?q=Sentencia%20C-259%20de%202015" TargetMode="External"/><Relationship Id="rId7" Type="http://schemas.openxmlformats.org/officeDocument/2006/relationships/hyperlink" Target="https://www.corteconstitucional.gov.co/relatoria/?q=Sentencia%20C-500%20de%202024" TargetMode="External"/><Relationship Id="rId8" Type="http://schemas.openxmlformats.org/officeDocument/2006/relationships/hyperlink" Target="https://www.suin-juriscol.gov.co/legislacion/?q=Decreto%201563%20de%202012" TargetMode="External"/><Relationship Id="rId9" Type="http://schemas.openxmlformats.org/officeDocument/2006/relationships/hyperlink" Target="http://www.secretariasenado.gov.co/senado/basedoc/?q=Codigo%20nacional%20policia" TargetMode="External"/><Relationship Id="rId10" Type="http://schemas.openxmlformats.org/officeDocument/2006/relationships/hyperlink" Target="https://www.suin-juriscol.gov.co/legislacion/?q=Ley%20678%20de%202001" TargetMode="External"/><Relationship Id="rId11" Type="http://schemas.openxmlformats.org/officeDocument/2006/relationships/hyperlink" Target="http://www.secretariasenado.gov.co/senado/basedoc/ley_1437_2011.html" TargetMode="External"/><Relationship Id="rId12" Type="http://schemas.openxmlformats.org/officeDocument/2006/relationships/hyperlink" Target="http://www.secretariasenado.gov.co/senado/basedoc/ley_1563_2012.html" TargetMode="External"/><Relationship Id="rId13" Type="http://schemas.openxmlformats.org/officeDocument/2006/relationships/hyperlink" Target="http://www.secretariasenado.gov.co/senado/basedoc/ley_0270_1996.html" TargetMode="External"/><Relationship Id="rId14" Type="http://schemas.openxmlformats.org/officeDocument/2006/relationships/hyperlink" Target="http://www.secretariasenado.gov.co/senado/basedoc/ley_0906_2004.html" TargetMode="External"/><Relationship Id="rId15" Type="http://schemas.openxmlformats.org/officeDocument/2006/relationships/hyperlink" Target="http://www.secretariasenado.gov.co/senado/basedoc/codigo_procedimental_laboral.html" TargetMode="External"/><Relationship Id="rId16" Type="http://schemas.openxmlformats.org/officeDocument/2006/relationships/hyperlink" Target="http://www.secretariasenado.gov.co/senado/basedoc/ley_2213_2022.html" TargetMode="External"/><Relationship Id="rId17" Type="http://schemas.openxmlformats.org/officeDocument/2006/relationships/hyperlink" Target="https://www.suin-juriscol.gov.co/legislacion/?q=Decreto%20806%20de%202020" TargetMode="External"/><Relationship Id="rId18" Type="http://schemas.openxmlformats.org/officeDocument/2006/relationships/hyperlink" Target="http://www.secretariasenado.gov.co/senado/basedoc/ley_1285_2009.html" TargetMode="External"/><Relationship Id="rId19" Type="http://schemas.openxmlformats.org/officeDocument/2006/relationships/hyperlink" Target="https://www.corteconstitucional.gov.co/relatoria/?q=Sentencia%20C-420%20de%202020" TargetMode="External"/><Relationship Id="rId20" Type="http://schemas.openxmlformats.org/officeDocument/2006/relationships/hyperlink" Target="https://www.corteconstitucional.gov.co/relatoria/?q=Sentencia%20C-543%20de%201992" TargetMode="External"/><Relationship Id="rId21" Type="http://schemas.openxmlformats.org/officeDocument/2006/relationships/hyperlink" Target="https://www.corteconstitucional.gov.co/relatoria/?q=Sentencia%20C-590%20de%202005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Codigo%20general%20proceso" TargetMode="External"/><Relationship Id="rId3" Type="http://schemas.openxmlformats.org/officeDocument/2006/relationships/hyperlink" Target="http://www.secretariasenado.gov.co/senado/basedoc/?q=Decision%20andina%20486" TargetMode="External"/><Relationship Id="rId4" Type="http://schemas.openxmlformats.org/officeDocument/2006/relationships/hyperlink" Target="https://www.suin-juriscol.gov.co/legislacion/?q=Ley%201116%20de%202006" TargetMode="External"/><Relationship Id="rId5" Type="http://schemas.openxmlformats.org/officeDocument/2006/relationships/hyperlink" Target="https://www.suin-juriscol.gov.co/legislacion/?q=Ley%201258%20de%202008" TargetMode="External"/><Relationship Id="rId6" Type="http://schemas.openxmlformats.org/officeDocument/2006/relationships/hyperlink" Target="https://www.suin-juriscol.gov.co/legislacion/?q=Decreto%20663%20de%201993" TargetMode="External"/><Relationship Id="rId7" Type="http://schemas.openxmlformats.org/officeDocument/2006/relationships/hyperlink" Target="https://www.corteconstitucional.gov.co/relatoria/?q=Sentencia%20C-145%20de%202018" TargetMode="External"/><Relationship Id="rId8" Type="http://schemas.openxmlformats.org/officeDocument/2006/relationships/hyperlink" Target="https://www.suin-juriscol.gov.co/legislacion/?q=Decreto%2024%20de%202016" TargetMode="External"/><Relationship Id="rId9" Type="http://schemas.openxmlformats.org/officeDocument/2006/relationships/hyperlink" Target="https://www.suin-juriscol.gov.co/legislacion/?q=Decreto%204334%20de%202008" TargetMode="External"/><Relationship Id="rId10" Type="http://schemas.openxmlformats.org/officeDocument/2006/relationships/hyperlink" Target="https://www.suin-juriscol.gov.co/legislacion/?q=Decreto%20046%20de%202024" TargetMode="External"/><Relationship Id="rId11" Type="http://schemas.openxmlformats.org/officeDocument/2006/relationships/hyperlink" Target="https://www.suin-juriscol.gov.co/legislacion/?q=Ley%201700%20de%202013" TargetMode="External"/><Relationship Id="rId12" Type="http://schemas.openxmlformats.org/officeDocument/2006/relationships/hyperlink" Target="https://www.suin-juriscol.gov.co/legislacion/?q=Ley%20527%20de%201999" TargetMode="External"/><Relationship Id="rId13" Type="http://schemas.openxmlformats.org/officeDocument/2006/relationships/hyperlink" Target="https://www.suin-juriscol.gov.co/legislacion/?q=Ley%20820%20de%202003" TargetMode="External"/><Relationship Id="rId14" Type="http://schemas.openxmlformats.org/officeDocument/2006/relationships/hyperlink" Target="https://www.suin-juriscol.gov.co/legislacion/?q=Ley%20964%20de%202006" TargetMode="External"/><Relationship Id="rId15" Type="http://schemas.openxmlformats.org/officeDocument/2006/relationships/hyperlink" Target="https://www.corteconstitucional.gov.co/relatoria/?q=Sentencia%20C-276%20de%202025" TargetMode="External"/><Relationship Id="rId16" Type="http://schemas.openxmlformats.org/officeDocument/2006/relationships/hyperlink" Target="https://www.corteconstitucional.gov.co/relatoria/?q=Sentencia%20C-486%20de%201993" TargetMode="External"/><Relationship Id="rId17" Type="http://schemas.openxmlformats.org/officeDocument/2006/relationships/hyperlink" Target="https://www.corteconstitucional.gov.co/relatoria/?q=Sentencia%20SC-18392%20de%202017" TargetMode="External"/><Relationship Id="rId18" Type="http://schemas.openxmlformats.org/officeDocument/2006/relationships/hyperlink" Target="https://www.corteconstitucional.gov.co/relatoria/?q=Sentencia%20SC-3674%20de%202021" TargetMode="External"/><Relationship Id="rId19" Type="http://schemas.openxmlformats.org/officeDocument/2006/relationships/hyperlink" Target="https://www.corteconstitucional.gov.co/relatoria/?q=Sentencia%20SC-425%20de%202024" TargetMode="External"/><Relationship Id="rId20" Type="http://schemas.openxmlformats.org/officeDocument/2006/relationships/hyperlink" Target="https://www.corteconstitucional.gov.co/relatoria/?q=Sentencia%20SC-8453%20de%202016" TargetMode="External"/><Relationship Id="rId21" Type="http://schemas.openxmlformats.org/officeDocument/2006/relationships/hyperlink" Target="http://www.secretariasenado.gov.co/senado/basedoc/codigo_comercio.html" TargetMode="External"/><Relationship Id="rId22" Type="http://schemas.openxmlformats.org/officeDocument/2006/relationships/hyperlink" Target="http://www.secretariasenado.gov.co/senado/basedoc/ley_0222_1995.html" TargetMode="External"/><Relationship Id="rId23" Type="http://schemas.openxmlformats.org/officeDocument/2006/relationships/hyperlink" Target="https://www.suin-juriscol.gov.co/legislacion/?q=Decreto%201074%20de%202015" TargetMode="External"/><Relationship Id="rId24" Type="http://schemas.openxmlformats.org/officeDocument/2006/relationships/hyperlink" Target="http://www.secretariasenado.gov.co/senado/basedoc/ley_1328_2009.html" TargetMode="External"/><Relationship Id="rId25" Type="http://schemas.openxmlformats.org/officeDocument/2006/relationships/hyperlink" Target="http://www.secretariasenado.gov.co/senado/basedoc/ley_1676_2013.html" TargetMode="External"/><Relationship Id="rId26" Type="http://schemas.openxmlformats.org/officeDocument/2006/relationships/hyperlink" Target="https://www.suin-juriscol.gov.co/legislacion/?q=Decreto%202555%20de%202010" TargetMode="External"/><Relationship Id="rId27" Type="http://schemas.openxmlformats.org/officeDocument/2006/relationships/hyperlink" Target="http://www.secretariasenado.gov.co/senado/basedoc/ley_1231_2008.html" TargetMode="External"/><Relationship Id="rId28" Type="http://schemas.openxmlformats.org/officeDocument/2006/relationships/hyperlink" Target="http://www.secretariasenado.gov.co/senado/basedoc/ley_1429_2010.html" TargetMode="External"/><Relationship Id="rId29" Type="http://schemas.openxmlformats.org/officeDocument/2006/relationships/hyperlink" Target="http://www.secretariasenado.gov.co/senado/basedoc/ley_2069_2020.html" TargetMode="External"/><Relationship Id="rId30" Type="http://schemas.openxmlformats.org/officeDocument/2006/relationships/hyperlink" Target="https://cortesuprema.gov.co/" TargetMode="External"/><Relationship Id="rId31" Type="http://schemas.openxmlformats.org/officeDocument/2006/relationships/hyperlink" Target="https://www.supersociedades.gov.c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?q=Codigo%20general%20proceso" TargetMode="External"/><Relationship Id="rId2" Type="http://schemas.openxmlformats.org/officeDocument/2006/relationships/hyperlink" Target="http://www.secretariasenado.gov.co/senado/basedoc/?q=Estatuto%20tributario" TargetMode="External"/><Relationship Id="rId3" Type="http://schemas.openxmlformats.org/officeDocument/2006/relationships/hyperlink" Target="http://www.secretariasenado.gov.co/senado/basedoc/?q=Estatuto%20consumidor" TargetMode="External"/><Relationship Id="rId4" Type="http://schemas.openxmlformats.org/officeDocument/2006/relationships/hyperlink" Target="https://www.suin-juriscol.gov.co/legislacion/?q=Ley%202220%20de%202022" TargetMode="External"/><Relationship Id="rId5" Type="http://schemas.openxmlformats.org/officeDocument/2006/relationships/hyperlink" Target="https://www.suin-juriscol.gov.co/legislacion/?q=Ley%20153%20de%201887" TargetMode="External"/><Relationship Id="rId6" Type="http://schemas.openxmlformats.org/officeDocument/2006/relationships/hyperlink" Target="https://www.corteconstitucional.gov.co/relatoria/?q=Sentencia%20SU-455%20de%202020" TargetMode="External"/><Relationship Id="rId7" Type="http://schemas.openxmlformats.org/officeDocument/2006/relationships/hyperlink" Target="https://www.suin-juriscol.gov.co/legislacion/?q=Ley%202437%20de%202024" TargetMode="External"/><Relationship Id="rId8" Type="http://schemas.openxmlformats.org/officeDocument/2006/relationships/hyperlink" Target="https://www.corteconstitucional.gov.co/relatoria/?q=Sentencia%20SU-315%20de%202025" TargetMode="External"/><Relationship Id="rId9" Type="http://schemas.openxmlformats.org/officeDocument/2006/relationships/hyperlink" Target="https://www.corteconstitucional.gov.co/relatoria/?q=Sentencia%20C-748%20de%202011" TargetMode="External"/><Relationship Id="rId10" Type="http://schemas.openxmlformats.org/officeDocument/2006/relationships/hyperlink" Target="https://www.corteconstitucional.gov.co/relatoria/?q=Sentencia%20SU-138%20de%202024" TargetMode="External"/><Relationship Id="rId11" Type="http://schemas.openxmlformats.org/officeDocument/2006/relationships/hyperlink" Target="https://www.corteconstitucional.gov.co/relatoria/?q=Sentencia%20SU-207%20de%202022" TargetMode="External"/><Relationship Id="rId12" Type="http://schemas.openxmlformats.org/officeDocument/2006/relationships/hyperlink" Target="https://www.corteconstitucional.gov.co/relatoria/?q=Sentencia%20SU-380%20de%202021" TargetMode="External"/><Relationship Id="rId13" Type="http://schemas.openxmlformats.org/officeDocument/2006/relationships/hyperlink" Target="https://www.corteconstitucional.gov.co/relatoria/?q=Sentencia%20SU-425%20de%202025" TargetMode="External"/><Relationship Id="rId14" Type="http://schemas.openxmlformats.org/officeDocument/2006/relationships/hyperlink" Target="https://www.corteconstitucional.gov.co/relatoria/?q=Sentencia%20SU-431%20de%202015" TargetMode="External"/><Relationship Id="rId15" Type="http://schemas.openxmlformats.org/officeDocument/2006/relationships/hyperlink" Target="https://www.corteconstitucional.gov.co/relatoria/?q=Sentencia%20SU-500%20de%202015" TargetMode="External"/><Relationship Id="rId16" Type="http://schemas.openxmlformats.org/officeDocument/2006/relationships/hyperlink" Target="https://www.suin-juriscol.gov.co/legislacion/?q=Decreto%20960%20de%201970" TargetMode="External"/><Relationship Id="rId17" Type="http://schemas.openxmlformats.org/officeDocument/2006/relationships/hyperlink" Target="https://www.suin-juriscol.gov.co/legislacion/?q=Ley%20160%20de%201994" TargetMode="External"/><Relationship Id="rId18" Type="http://schemas.openxmlformats.org/officeDocument/2006/relationships/hyperlink" Target="https://www.suin-juriscol.gov.co/legislacion/?q=Ley%202251%20de%202022" TargetMode="External"/><Relationship Id="rId19" Type="http://schemas.openxmlformats.org/officeDocument/2006/relationships/hyperlink" Target="https://www.suin-juriscol.gov.co/legislacion/?q=Ley%20769%20de%202002" TargetMode="External"/><Relationship Id="rId20" Type="http://schemas.openxmlformats.org/officeDocument/2006/relationships/hyperlink" Target="https://www.corteconstitucional.gov.co/relatoria/?q=Sentencia%20C-183%20de%202025" TargetMode="External"/><Relationship Id="rId21" Type="http://schemas.openxmlformats.org/officeDocument/2006/relationships/hyperlink" Target="https://www.corteconstitucional.gov.co/relatoria/?q=Sentencia%20C-345%20de%202017" TargetMode="External"/><Relationship Id="rId22" Type="http://schemas.openxmlformats.org/officeDocument/2006/relationships/hyperlink" Target="https://www.corteconstitucional.gov.co/relatoria/?q=Sentencia%20SC-1121%20de%202018" TargetMode="External"/><Relationship Id="rId23" Type="http://schemas.openxmlformats.org/officeDocument/2006/relationships/hyperlink" Target="https://www.corteconstitucional.gov.co/relatoria/?q=Sentencia%20T-4%20de%202026" TargetMode="External"/><Relationship Id="rId24" Type="http://schemas.openxmlformats.org/officeDocument/2006/relationships/hyperlink" Target="https://www.corteconstitucional.gov.co/relatoria/?q=Sentencia%20T-26%20de%202025" TargetMode="External"/><Relationship Id="rId25" Type="http://schemas.openxmlformats.org/officeDocument/2006/relationships/hyperlink" Target="http://www.secretariasenado.gov.co/senado/basedoc/codigo_civil.html" TargetMode="External"/><Relationship Id="rId26" Type="http://schemas.openxmlformats.org/officeDocument/2006/relationships/hyperlink" Target="http://www.secretariasenado.gov.co/senado/basedoc/ley_1676_2013.html" TargetMode="External"/><Relationship Id="rId27" Type="http://schemas.openxmlformats.org/officeDocument/2006/relationships/hyperlink" Target="http://www.secretariasenado.gov.co/senado/basedoc/ley_1996_2019.html" TargetMode="External"/><Relationship Id="rId28" Type="http://schemas.openxmlformats.org/officeDocument/2006/relationships/hyperlink" Target="http://www.secretariasenado.gov.co/senado/basedoc/ley_0675_2001.html" TargetMode="External"/><Relationship Id="rId29" Type="http://schemas.openxmlformats.org/officeDocument/2006/relationships/hyperlink" Target="http://www.secretariasenado.gov.co/senado/basedoc/ley_0791_2002.html" TargetMode="External"/><Relationship Id="rId30" Type="http://schemas.openxmlformats.org/officeDocument/2006/relationships/hyperlink" Target="http://www.secretariasenado.gov.co/senado/basedoc/ley_1561_2012.html" TargetMode="External"/><Relationship Id="rId31" Type="http://schemas.openxmlformats.org/officeDocument/2006/relationships/hyperlink" Target="http://www.secretariasenado.gov.co/senado/basedoc/ley_1579_2012.html" TargetMode="External"/><Relationship Id="rId32" Type="http://schemas.openxmlformats.org/officeDocument/2006/relationships/hyperlink" Target="http://www.secretariasenado.gov.co/senado/basedoc/ley_0258_1996.html" TargetMode="External"/><Relationship Id="rId33" Type="http://schemas.openxmlformats.org/officeDocument/2006/relationships/hyperlink" Target="https://cortesuprema.gov.co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Codigo%20general%20proceso" TargetMode="External"/><Relationship Id="rId3" Type="http://schemas.openxmlformats.org/officeDocument/2006/relationships/hyperlink" Target="http://www.secretariasenado.gov.co/senado/basedoc/?q=Codigo%20infancia" TargetMode="External"/><Relationship Id="rId4" Type="http://schemas.openxmlformats.org/officeDocument/2006/relationships/hyperlink" Target="https://www.suin-juriscol.gov.co/legislacion/?q=Ley%2054%20de%201990" TargetMode="External"/><Relationship Id="rId5" Type="http://schemas.openxmlformats.org/officeDocument/2006/relationships/hyperlink" Target="https://www.suin-juriscol.gov.co/legislacion/?q=Ley%20979%20de%202005" TargetMode="External"/><Relationship Id="rId6" Type="http://schemas.openxmlformats.org/officeDocument/2006/relationships/hyperlink" Target="https://www.corteconstitucional.gov.co/relatoria/?q=Sentencia%20C-39%20de%202025" TargetMode="External"/><Relationship Id="rId7" Type="http://schemas.openxmlformats.org/officeDocument/2006/relationships/hyperlink" Target="https://www.corteconstitucional.gov.co/relatoria/?q=Sentencia%20C-394%20de%202017" TargetMode="External"/><Relationship Id="rId8" Type="http://schemas.openxmlformats.org/officeDocument/2006/relationships/hyperlink" Target="https://www.corteconstitucional.gov.co/relatoria/?q=Sentencia%20C-96%20de%202024" TargetMode="External"/><Relationship Id="rId9" Type="http://schemas.openxmlformats.org/officeDocument/2006/relationships/hyperlink" Target="https://www.corteconstitucional.gov.co/relatoria/?q=Sentencia%20C-134%20de%202019" TargetMode="External"/><Relationship Id="rId10" Type="http://schemas.openxmlformats.org/officeDocument/2006/relationships/hyperlink" Target="https://www.corteconstitucional.gov.co/relatoria/?q=Sentencia%20C-507%20de%202004" TargetMode="External"/><Relationship Id="rId11" Type="http://schemas.openxmlformats.org/officeDocument/2006/relationships/hyperlink" Target="https://www.corteconstitucional.gov.co/relatoria/?q=Sentencia%20C-746%20de%202011" TargetMode="External"/><Relationship Id="rId12" Type="http://schemas.openxmlformats.org/officeDocument/2006/relationships/hyperlink" Target="https://www.corteconstitucional.gov.co/relatoria/?q=Sentencia%20SU-214%20de%202016" TargetMode="External"/><Relationship Id="rId13" Type="http://schemas.openxmlformats.org/officeDocument/2006/relationships/hyperlink" Target="https://www.suin-juriscol.gov.co/legislacion/?q=Decreto%204436%20de%202005" TargetMode="External"/><Relationship Id="rId14" Type="http://schemas.openxmlformats.org/officeDocument/2006/relationships/hyperlink" Target="https://www.suin-juriscol.gov.co/legislacion/?q=Ley%2029%20de%201982" TargetMode="External"/><Relationship Id="rId15" Type="http://schemas.openxmlformats.org/officeDocument/2006/relationships/hyperlink" Target="https://www.suin-juriscol.gov.co/legislacion/?q=Ley%20721%20de%202001" TargetMode="External"/><Relationship Id="rId16" Type="http://schemas.openxmlformats.org/officeDocument/2006/relationships/hyperlink" Target="https://www.suin-juriscol.gov.co/legislacion/?q=Ley%2075%20de%201968" TargetMode="External"/><Relationship Id="rId17" Type="http://schemas.openxmlformats.org/officeDocument/2006/relationships/hyperlink" Target="https://www.corteconstitucional.gov.co/relatoria/?q=Sentencia%20C-4%20de%201998" TargetMode="External"/><Relationship Id="rId18" Type="http://schemas.openxmlformats.org/officeDocument/2006/relationships/hyperlink" Target="https://www.corteconstitucional.gov.co/relatoria/?q=Sentencia%20C-1033%20de%202002" TargetMode="External"/><Relationship Id="rId19" Type="http://schemas.openxmlformats.org/officeDocument/2006/relationships/hyperlink" Target="https://www.corteconstitucional.gov.co/relatoria/?q=Sentencia%20C-131%20de%202018" TargetMode="External"/><Relationship Id="rId20" Type="http://schemas.openxmlformats.org/officeDocument/2006/relationships/hyperlink" Target="https://www.corteconstitucional.gov.co/relatoria/?q=Sentencia%20C-533%20de%202000" TargetMode="External"/><Relationship Id="rId21" Type="http://schemas.openxmlformats.org/officeDocument/2006/relationships/hyperlink" Target="https://www.corteconstitucional.gov.co/relatoria/?q=Sentencia%20C-683%20de%202015" TargetMode="External"/><Relationship Id="rId22" Type="http://schemas.openxmlformats.org/officeDocument/2006/relationships/hyperlink" Target="https://www.corteconstitucional.gov.co/relatoria/?q=Sentencia%20C-964%20de%202003" TargetMode="External"/><Relationship Id="rId23" Type="http://schemas.openxmlformats.org/officeDocument/2006/relationships/hyperlink" Target="https://www.corteconstitucional.gov.co/relatoria/?q=Sentencia%20C-985%20de%202010" TargetMode="External"/><Relationship Id="rId24" Type="http://schemas.openxmlformats.org/officeDocument/2006/relationships/hyperlink" Target="https://www.corteconstitucional.gov.co/relatoria/?q=Sentencia%20SC-3085%20de%202024" TargetMode="External"/><Relationship Id="rId25" Type="http://schemas.openxmlformats.org/officeDocument/2006/relationships/hyperlink" Target="https://www.corteconstitucional.gov.co/relatoria/?q=Sentencia%20T-71%20de%202016" TargetMode="External"/><Relationship Id="rId26" Type="http://schemas.openxmlformats.org/officeDocument/2006/relationships/hyperlink" Target="https://www.corteconstitucional.gov.co/relatoria/?q=Sentencia%20T-77%20de%202025" TargetMode="External"/><Relationship Id="rId27" Type="http://schemas.openxmlformats.org/officeDocument/2006/relationships/hyperlink" Target="https://www.corteconstitucional.gov.co/relatoria/?q=Sentencia%20T-1096%20de%202008" TargetMode="External"/><Relationship Id="rId28" Type="http://schemas.openxmlformats.org/officeDocument/2006/relationships/hyperlink" Target="https://www.corteconstitucional.gov.co/relatoria/?q=Sentencia%20T-232%20de%202025" TargetMode="External"/><Relationship Id="rId29" Type="http://schemas.openxmlformats.org/officeDocument/2006/relationships/hyperlink" Target="https://www.corteconstitucional.gov.co/relatoria/?q=Sentencia%20T-350%20de%202025" TargetMode="External"/><Relationship Id="rId30" Type="http://schemas.openxmlformats.org/officeDocument/2006/relationships/hyperlink" Target="http://www.secretariasenado.gov.co/senado/basedoc/codigo_civil.html" TargetMode="External"/><Relationship Id="rId31" Type="http://schemas.openxmlformats.org/officeDocument/2006/relationships/hyperlink" Target="http://www.secretariasenado.gov.co/senado/basedoc/ley_1060_2006.html" TargetMode="External"/><Relationship Id="rId32" Type="http://schemas.openxmlformats.org/officeDocument/2006/relationships/hyperlink" Target="http://www.secretariasenado.gov.co/senado/basedoc/ley_1257_2008.html" TargetMode="External"/><Relationship Id="rId33" Type="http://schemas.openxmlformats.org/officeDocument/2006/relationships/hyperlink" Target="http://www.secretariasenado.gov.co/senado/basedoc/ley_1996_2019.html" TargetMode="External"/><Relationship Id="rId34" Type="http://schemas.openxmlformats.org/officeDocument/2006/relationships/hyperlink" Target="http://www.secretariasenado.gov.co/senado/basedoc/ley_0025_1992.html" TargetMode="External"/><Relationship Id="rId35" Type="http://schemas.openxmlformats.org/officeDocument/2006/relationships/hyperlink" Target="http://www.secretariasenado.gov.co/senado/basedoc/ley_0294_1996.html" TargetMode="External"/><Relationship Id="rId36" Type="http://schemas.openxmlformats.org/officeDocument/2006/relationships/hyperlink" Target="http://www.secretariasenado.gov.co/senado/basedoc/ley_1878_2018.html" TargetMode="External"/><Relationship Id="rId37" Type="http://schemas.openxmlformats.org/officeDocument/2006/relationships/hyperlink" Target="http://www.secretariasenado.gov.co/senado/basedoc/ley_2097_2021.html" TargetMode="External"/><Relationship Id="rId38" Type="http://schemas.openxmlformats.org/officeDocument/2006/relationships/hyperlink" Target="http://www.secretariasenado.gov.co/senado/basedoc/ley_2126_2021.html" TargetMode="External"/><Relationship Id="rId39" Type="http://schemas.openxmlformats.org/officeDocument/2006/relationships/hyperlink" Target="http://www.secretariasenado.gov.co/senado/basedoc/ley_0258_1996.html" TargetMode="External"/><Relationship Id="rId40" Type="http://schemas.openxmlformats.org/officeDocument/2006/relationships/hyperlink" Target="https://www.corteconstitucional.gov.co/relatoria/?q=Sentencia%20C-029%20de%202009" TargetMode="External"/><Relationship Id="rId41" Type="http://schemas.openxmlformats.org/officeDocument/2006/relationships/hyperlink" Target="https://www.corteconstitucional.gov.co/relatoria/?q=Sentencia%20C-071%20de%202015" TargetMode="External"/><Relationship Id="rId42" Type="http://schemas.openxmlformats.org/officeDocument/2006/relationships/hyperlink" Target="https://www.corteconstitucional.gov.co/relatoria/?q=Sentencia%20C-075%20de%202007" TargetMode="External"/><Relationship Id="rId43" Type="http://schemas.openxmlformats.org/officeDocument/2006/relationships/hyperlink" Target="https://www.corteconstitucional.gov.co/relatoria/?q=Sentencia%20C-577%20de%202011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Codigo%20general%20proceso" TargetMode="External"/><Relationship Id="rId3" Type="http://schemas.openxmlformats.org/officeDocument/2006/relationships/hyperlink" Target="http://www.secretariasenado.gov.co/senado/basedoc/?q=Estatuto%20tributario" TargetMode="External"/><Relationship Id="rId4" Type="http://schemas.openxmlformats.org/officeDocument/2006/relationships/hyperlink" Target="https://www.corteconstitucional.gov.co/relatoria/?q=Sentencia%20C-891%20de%202012" TargetMode="External"/><Relationship Id="rId5" Type="http://schemas.openxmlformats.org/officeDocument/2006/relationships/hyperlink" Target="https://www.suin-juriscol.gov.co/legislacion/?q=Ley%20153%20de%201887" TargetMode="External"/><Relationship Id="rId6" Type="http://schemas.openxmlformats.org/officeDocument/2006/relationships/hyperlink" Target="https://www.corteconstitucional.gov.co/relatoria/?q=Sentencia%20C-35%20de%202009" TargetMode="External"/><Relationship Id="rId7" Type="http://schemas.openxmlformats.org/officeDocument/2006/relationships/hyperlink" Target="https://www.corteconstitucional.gov.co/relatoria/?q=Sentencia%20C-117%20de%202018" TargetMode="External"/><Relationship Id="rId8" Type="http://schemas.openxmlformats.org/officeDocument/2006/relationships/hyperlink" Target="https://www.corteconstitucional.gov.co/relatoria/?q=Sentencia%20C-500%20de%202024" TargetMode="External"/><Relationship Id="rId9" Type="http://schemas.openxmlformats.org/officeDocument/2006/relationships/hyperlink" Target="https://www.corteconstitucional.gov.co/relatoria/?q=Sentencia%20C-540%20de%202023" TargetMode="External"/><Relationship Id="rId10" Type="http://schemas.openxmlformats.org/officeDocument/2006/relationships/hyperlink" Target="https://www.suin-juriscol.gov.co/legislacion/?q=Decreto%201742%20de%202020" TargetMode="External"/><Relationship Id="rId11" Type="http://schemas.openxmlformats.org/officeDocument/2006/relationships/hyperlink" Target="https://www.suin-juriscol.gov.co/legislacion/?q=Decreto%20175%20de%202025" TargetMode="External"/><Relationship Id="rId12" Type="http://schemas.openxmlformats.org/officeDocument/2006/relationships/hyperlink" Target="https://www.suin-juriscol.gov.co/legislacion/?q=Ley%20137%20de%201994" TargetMode="External"/><Relationship Id="rId13" Type="http://schemas.openxmlformats.org/officeDocument/2006/relationships/hyperlink" Target="https://www.suin-juriscol.gov.co/legislacion/?q=Ley%201473%20de%202011" TargetMode="External"/><Relationship Id="rId14" Type="http://schemas.openxmlformats.org/officeDocument/2006/relationships/hyperlink" Target="https://www.suin-juriscol.gov.co/legislacion/?q=Ley%201607%20de%202012" TargetMode="External"/><Relationship Id="rId15" Type="http://schemas.openxmlformats.org/officeDocument/2006/relationships/hyperlink" Target="https://www.suin-juriscol.gov.co/legislacion/?q=Ley%201692%20de%202017" TargetMode="External"/><Relationship Id="rId16" Type="http://schemas.openxmlformats.org/officeDocument/2006/relationships/hyperlink" Target="https://www.suin-juriscol.gov.co/legislacion/?q=Ley%201819%20de%202016" TargetMode="External"/><Relationship Id="rId17" Type="http://schemas.openxmlformats.org/officeDocument/2006/relationships/hyperlink" Target="https://www.corteconstitucional.gov.co/relatoria/?q=Sentencia%20C-389%20de%202023" TargetMode="External"/><Relationship Id="rId18" Type="http://schemas.openxmlformats.org/officeDocument/2006/relationships/hyperlink" Target="https://www.corteconstitucional.gov.co/relatoria/?q=Sentencia%20C-413%20de%201996" TargetMode="External"/><Relationship Id="rId19" Type="http://schemas.openxmlformats.org/officeDocument/2006/relationships/hyperlink" Target="https://www.corteconstitucional.gov.co/relatoria/?q=Sentencia%20C-537%20de%201995" TargetMode="External"/><Relationship Id="rId20" Type="http://schemas.openxmlformats.org/officeDocument/2006/relationships/hyperlink" Target="https://www.suin-juriscol.gov.co/legislacion/?q=Decreto%201333%20de%201986" TargetMode="External"/><Relationship Id="rId21" Type="http://schemas.openxmlformats.org/officeDocument/2006/relationships/hyperlink" Target="https://www.suin-juriscol.gov.co/legislacion/?q=Decreto%201625%20de%202016" TargetMode="External"/><Relationship Id="rId22" Type="http://schemas.openxmlformats.org/officeDocument/2006/relationships/hyperlink" Target="http://www.secretariasenado.gov.co/senado/basedoc/ley_0014_1983.html" TargetMode="External"/><Relationship Id="rId23" Type="http://schemas.openxmlformats.org/officeDocument/2006/relationships/hyperlink" Target="http://www.secretariasenado.gov.co/senado/basedoc/ley_2010_2019.html" TargetMode="External"/><Relationship Id="rId24" Type="http://schemas.openxmlformats.org/officeDocument/2006/relationships/hyperlink" Target="http://www.secretariasenado.gov.co/senado/basedoc/ley_2277_2022.html" TargetMode="External"/><Relationship Id="rId25" Type="http://schemas.openxmlformats.org/officeDocument/2006/relationships/hyperlink" Target="http://www.secretariasenado.gov.co/senado/basedoc/ley_1739_2014.html" TargetMode="External"/><Relationship Id="rId26" Type="http://schemas.openxmlformats.org/officeDocument/2006/relationships/hyperlink" Target="http://www.secretariasenado.gov.co/senado/basedoc/ley_1943_2018.html" TargetMode="External"/><Relationship Id="rId27" Type="http://schemas.openxmlformats.org/officeDocument/2006/relationships/hyperlink" Target="http://www.secretariasenado.gov.co/senado/basedoc/ley_2155_2021.html" TargetMode="External"/><Relationship Id="rId28" Type="http://schemas.openxmlformats.org/officeDocument/2006/relationships/hyperlink" Target="https://www.dian.gov.co/" TargetMode="External"/><Relationship Id="rId29" Type="http://schemas.openxmlformats.org/officeDocument/2006/relationships/hyperlink" Target="https://www.consejodeestado.gov.co/" TargetMode="External"/><Relationship Id="rId30" Type="http://schemas.openxmlformats.org/officeDocument/2006/relationships/hyperlink" Target="https://www.corteconstitucional.gov.co/relatoria/?q=Sentencia%20C-481%20de%202019" TargetMode="External"/><Relationship Id="rId31" Type="http://schemas.openxmlformats.org/officeDocument/2006/relationships/hyperlink" Target="https://www.corteconstitucional.gov.co/relatoria/?q=Sentencia%20C-776%20de%202003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Codigo%20sustantivo%20trabajo" TargetMode="External"/><Relationship Id="rId3" Type="http://schemas.openxmlformats.org/officeDocument/2006/relationships/hyperlink" Target="https://www.suin-juriscol.gov.co/legislacion/?q=Ley%2080%20de%201993" TargetMode="External"/><Relationship Id="rId4" Type="http://schemas.openxmlformats.org/officeDocument/2006/relationships/hyperlink" Target="https://www.corteconstitucional.gov.co/relatoria/?q=Sentencia%20SL-3385%20de%202022" TargetMode="External"/><Relationship Id="rId5" Type="http://schemas.openxmlformats.org/officeDocument/2006/relationships/hyperlink" Target="https://www.suin-juriscol.gov.co/legislacion/?q=Ley%201010%20de%202006" TargetMode="External"/><Relationship Id="rId6" Type="http://schemas.openxmlformats.org/officeDocument/2006/relationships/hyperlink" Target="https://www.suin-juriscol.gov.co/legislacion/?q=Ley%202452%20de%202025" TargetMode="External"/><Relationship Id="rId7" Type="http://schemas.openxmlformats.org/officeDocument/2006/relationships/hyperlink" Target="https://www.suin-juriscol.gov.co/legislacion/?q=Ley%202466%20de%202025" TargetMode="External"/><Relationship Id="rId8" Type="http://schemas.openxmlformats.org/officeDocument/2006/relationships/hyperlink" Target="https://www.suin-juriscol.gov.co/legislacion/?q=Ley%201562%20de%202012" TargetMode="External"/><Relationship Id="rId9" Type="http://schemas.openxmlformats.org/officeDocument/2006/relationships/hyperlink" Target="https://www.corteconstitucional.gov.co/relatoria/?q=Sentencia%20T-243%20de%202018" TargetMode="External"/><Relationship Id="rId10" Type="http://schemas.openxmlformats.org/officeDocument/2006/relationships/hyperlink" Target="https://www.suin-juriscol.gov.co/legislacion/?q=Ley%202141%20de%202021" TargetMode="External"/><Relationship Id="rId11" Type="http://schemas.openxmlformats.org/officeDocument/2006/relationships/hyperlink" Target="https://www.suin-juriscol.gov.co/legislacion/?q=Ley%2050%20de%201990" TargetMode="External"/><Relationship Id="rId12" Type="http://schemas.openxmlformats.org/officeDocument/2006/relationships/hyperlink" Target="https://www.corteconstitucional.gov.co/relatoria/?q=Sentencia%20SL-648%20de%202018" TargetMode="External"/><Relationship Id="rId13" Type="http://schemas.openxmlformats.org/officeDocument/2006/relationships/hyperlink" Target="https://www.corteconstitucional.gov.co/relatoria/?q=Sentencia%20SU-111%20de%202025" TargetMode="External"/><Relationship Id="rId14" Type="http://schemas.openxmlformats.org/officeDocument/2006/relationships/hyperlink" Target="https://www.corteconstitucional.gov.co/relatoria/?q=Sentencia%20T-547%20de%202017" TargetMode="External"/><Relationship Id="rId15" Type="http://schemas.openxmlformats.org/officeDocument/2006/relationships/hyperlink" Target="https://www.corteconstitucional.gov.co/relatoria/?q=Sentencia%20SU-27%20de%202021" TargetMode="External"/><Relationship Id="rId16" Type="http://schemas.openxmlformats.org/officeDocument/2006/relationships/hyperlink" Target="https://www.corteconstitucional.gov.co/relatoria/?q=Sentencia%20SU-149%20de%202021" TargetMode="External"/><Relationship Id="rId17" Type="http://schemas.openxmlformats.org/officeDocument/2006/relationships/hyperlink" Target="https://www.corteconstitucional.gov.co/relatoria/?q=Sentencia%20SU-296%20de%202023" TargetMode="External"/><Relationship Id="rId18" Type="http://schemas.openxmlformats.org/officeDocument/2006/relationships/hyperlink" Target="https://www.corteconstitucional.gov.co/relatoria/?q=Sentencia%20SU-396%20de%202024" TargetMode="External"/><Relationship Id="rId19" Type="http://schemas.openxmlformats.org/officeDocument/2006/relationships/hyperlink" Target="https://www.suin-juriscol.gov.co/legislacion/?q=Decreto%20405%20de%202025" TargetMode="External"/><Relationship Id="rId20" Type="http://schemas.openxmlformats.org/officeDocument/2006/relationships/hyperlink" Target="https://www.suin-juriscol.gov.co/legislacion/?q=Decreto%20875%20de%202008" TargetMode="External"/><Relationship Id="rId21" Type="http://schemas.openxmlformats.org/officeDocument/2006/relationships/hyperlink" Target="https://www.suin-juriscol.gov.co/legislacion/?q=Ley%202114%20de%202021" TargetMode="External"/><Relationship Id="rId22" Type="http://schemas.openxmlformats.org/officeDocument/2006/relationships/hyperlink" Target="https://www.suin-juriscol.gov.co/legislacion/?q=Ley%202737%20de%201989" TargetMode="External"/><Relationship Id="rId23" Type="http://schemas.openxmlformats.org/officeDocument/2006/relationships/hyperlink" Target="https://www.corteconstitucional.gov.co/relatoria/?q=Sentencia%20C-170%20de%202004" TargetMode="External"/><Relationship Id="rId24" Type="http://schemas.openxmlformats.org/officeDocument/2006/relationships/hyperlink" Target="https://www.corteconstitucional.gov.co/relatoria/?q=Sentencia%20C-201%20de%202002" TargetMode="External"/><Relationship Id="rId25" Type="http://schemas.openxmlformats.org/officeDocument/2006/relationships/hyperlink" Target="https://www.corteconstitucional.gov.co/relatoria/?q=Sentencia%20C-535%20de%202002" TargetMode="External"/><Relationship Id="rId26" Type="http://schemas.openxmlformats.org/officeDocument/2006/relationships/hyperlink" Target="https://www.corteconstitucional.gov.co/relatoria/?q=Sentencia%20SL-1050%20de%202023" TargetMode="External"/><Relationship Id="rId27" Type="http://schemas.openxmlformats.org/officeDocument/2006/relationships/hyperlink" Target="https://www.corteconstitucional.gov.co/relatoria/?q=Sentencia%20SL-1730%20de%202020" TargetMode="External"/><Relationship Id="rId28" Type="http://schemas.openxmlformats.org/officeDocument/2006/relationships/hyperlink" Target="https://www.corteconstitucional.gov.co/relatoria/?q=Sentencia%20SL-1972%20de%202025" TargetMode="External"/><Relationship Id="rId29" Type="http://schemas.openxmlformats.org/officeDocument/2006/relationships/hyperlink" Target="https://www.corteconstitucional.gov.co/relatoria/?q=Sentencia%20T-1059%20de%202001" TargetMode="External"/><Relationship Id="rId30" Type="http://schemas.openxmlformats.org/officeDocument/2006/relationships/hyperlink" Target="https://www.corteconstitucional.gov.co/relatoria/?q=Sentencia%20T-145%20de%202016" TargetMode="External"/><Relationship Id="rId31" Type="http://schemas.openxmlformats.org/officeDocument/2006/relationships/hyperlink" Target="http://www.secretariasenado.gov.co/senado/basedoc/ley_0100_1993.html" TargetMode="External"/><Relationship Id="rId32" Type="http://schemas.openxmlformats.org/officeDocument/2006/relationships/hyperlink" Target="https://www.suin-juriscol.gov.co/legislacion/?q=Decreto%201072%20de%202015" TargetMode="External"/><Relationship Id="rId33" Type="http://schemas.openxmlformats.org/officeDocument/2006/relationships/hyperlink" Target="http://www.secretariasenado.gov.co/senado/basedoc/codigo_procedimental_laboral.html" TargetMode="External"/><Relationship Id="rId34" Type="http://schemas.openxmlformats.org/officeDocument/2006/relationships/hyperlink" Target="http://www.secretariasenado.gov.co/senado/basedoc/ley_1822_2017.html" TargetMode="External"/><Relationship Id="rId35" Type="http://schemas.openxmlformats.org/officeDocument/2006/relationships/hyperlink" Target="http://www.secretariasenado.gov.co/senado/basedoc/ley_2101_2021.html" TargetMode="External"/><Relationship Id="rId36" Type="http://schemas.openxmlformats.org/officeDocument/2006/relationships/hyperlink" Target="http://www.secretariasenado.gov.co/senado/basedoc/ley_2381_2024.html" TargetMode="External"/><Relationship Id="rId37" Type="http://schemas.openxmlformats.org/officeDocument/2006/relationships/hyperlink" Target="http://www.secretariasenado.gov.co/senado/basedoc/ley_0361_1997.html" TargetMode="External"/><Relationship Id="rId38" Type="http://schemas.openxmlformats.org/officeDocument/2006/relationships/hyperlink" Target="http://www.secretariasenado.gov.co/senado/basedoc/ley_0789_2002.html" TargetMode="External"/><Relationship Id="rId39" Type="http://schemas.openxmlformats.org/officeDocument/2006/relationships/hyperlink" Target="https://www.suin-juriscol.gov.co/legislacion/?q=Decreto%201295%20de%201994" TargetMode="External"/><Relationship Id="rId40" Type="http://schemas.openxmlformats.org/officeDocument/2006/relationships/hyperlink" Target="http://www.secretariasenado.gov.co/senado/basedoc/ley_1221_2008.html" TargetMode="External"/><Relationship Id="rId41" Type="http://schemas.openxmlformats.org/officeDocument/2006/relationships/hyperlink" Target="http://www.secretariasenado.gov.co/senado/basedoc/ley_2088_2021.html" TargetMode="External"/><Relationship Id="rId42" Type="http://schemas.openxmlformats.org/officeDocument/2006/relationships/hyperlink" Target="http://www.secretariasenado.gov.co/senado/basedoc/ley_2121_2021.html" TargetMode="External"/><Relationship Id="rId43" Type="http://schemas.openxmlformats.org/officeDocument/2006/relationships/hyperlink" Target="http://www.secretariasenado.gov.co/senado/basedoc/ley_0776_2002.html" TargetMode="External"/><Relationship Id="rId44" Type="http://schemas.openxmlformats.org/officeDocument/2006/relationships/hyperlink" Target="https://cortesuprema.gov.co/" TargetMode="External"/><Relationship Id="rId45" Type="http://schemas.openxmlformats.org/officeDocument/2006/relationships/hyperlink" Target="https://www.corteconstitucional.gov.co/relatoria/?q=Sentencia%20C-264%20de%202026" TargetMode="External"/><Relationship Id="rId46" Type="http://schemas.openxmlformats.org/officeDocument/2006/relationships/hyperlink" Target="https://www.corteconstitucional.gov.co/relatoria/?q=Sentencia%20C-614%20de%202009" TargetMode="External"/><Relationship Id="rId47" Type="http://schemas.openxmlformats.org/officeDocument/2006/relationships/hyperlink" Target="https://www.corteconstitucional.gov.co/relatoria/?q=Sentencia%20SU-049%20de%202017" TargetMode="External"/><Relationship Id="rId48" Type="http://schemas.openxmlformats.org/officeDocument/2006/relationships/hyperlink" Target="https://www.corteconstitucional.gov.co/relatoria/?q=Sentencia%20SU-075%20de%202018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Codigo%20general%20proceso" TargetMode="External"/><Relationship Id="rId3" Type="http://schemas.openxmlformats.org/officeDocument/2006/relationships/hyperlink" Target="http://www.secretariasenado.gov.co/senado/basedoc/?q=Decision%20andina%20486" TargetMode="External"/><Relationship Id="rId4" Type="http://schemas.openxmlformats.org/officeDocument/2006/relationships/hyperlink" Target="http://www.secretariasenado.gov.co/senado/basedoc/?q=Estatuto%20consumidor" TargetMode="External"/><Relationship Id="rId5" Type="http://schemas.openxmlformats.org/officeDocument/2006/relationships/hyperlink" Target="https://www.suin-juriscol.gov.co/legislacion/?q=Decreto%202153%20de%201992" TargetMode="External"/><Relationship Id="rId6" Type="http://schemas.openxmlformats.org/officeDocument/2006/relationships/hyperlink" Target="https://www.suin-juriscol.gov.co/legislacion/?q=Ley%201581%20de%202012" TargetMode="External"/><Relationship Id="rId7" Type="http://schemas.openxmlformats.org/officeDocument/2006/relationships/hyperlink" Target="https://www.suin-juriscol.gov.co/legislacion/?q=Ley%201340%20de%202009" TargetMode="External"/><Relationship Id="rId8" Type="http://schemas.openxmlformats.org/officeDocument/2006/relationships/hyperlink" Target="https://www.suin-juriscol.gov.co/legislacion/?q=Ley%20256%20de%201996" TargetMode="External"/><Relationship Id="rId9" Type="http://schemas.openxmlformats.org/officeDocument/2006/relationships/hyperlink" Target="https://www.corteconstitucional.gov.co/relatoria/?q=Sentencia%20C-748%20de%202011" TargetMode="External"/><Relationship Id="rId10" Type="http://schemas.openxmlformats.org/officeDocument/2006/relationships/hyperlink" Target="https://www.suin-juriscol.gov.co/legislacion/?q=Decreto%204886%20de%202011" TargetMode="External"/><Relationship Id="rId11" Type="http://schemas.openxmlformats.org/officeDocument/2006/relationships/hyperlink" Target="https://www.suin-juriscol.gov.co/legislacion/?q=Ley%20116%20de%202006" TargetMode="External"/><Relationship Id="rId12" Type="http://schemas.openxmlformats.org/officeDocument/2006/relationships/hyperlink" Target="https://www.suin-juriscol.gov.co/legislacion/?q=Ley%20155%20de%201959" TargetMode="External"/><Relationship Id="rId13" Type="http://schemas.openxmlformats.org/officeDocument/2006/relationships/hyperlink" Target="https://www.suin-juriscol.gov.co/legislacion/?q=Ley%202157%20de%202021" TargetMode="External"/><Relationship Id="rId14" Type="http://schemas.openxmlformats.org/officeDocument/2006/relationships/hyperlink" Target="https://www.suin-juriscol.gov.co/legislacion/?q=Ley%20640%20de%202001" TargetMode="External"/><Relationship Id="rId15" Type="http://schemas.openxmlformats.org/officeDocument/2006/relationships/hyperlink" Target="https://www.corteconstitucional.gov.co/relatoria/?q=Sentencia%20C-80%20de%202025" TargetMode="External"/><Relationship Id="rId16" Type="http://schemas.openxmlformats.org/officeDocument/2006/relationships/hyperlink" Target="http://www.secretariasenado.gov.co/senado/basedoc/?q=Decision%20andina%20351" TargetMode="External"/><Relationship Id="rId17" Type="http://schemas.openxmlformats.org/officeDocument/2006/relationships/hyperlink" Target="http://www.secretariasenado.gov.co/senado/basedoc/ley_1266_2008.html" TargetMode="External"/><Relationship Id="rId18" Type="http://schemas.openxmlformats.org/officeDocument/2006/relationships/hyperlink" Target="http://www.secretariasenado.gov.co/senado/basedoc/ley_0023_1982.html" TargetMode="External"/><Relationship Id="rId19" Type="http://schemas.openxmlformats.org/officeDocument/2006/relationships/hyperlink" Target="https://www.suin-juriscol.gov.co/legislacion/?q=Decreto%201074%20de%202015" TargetMode="External"/><Relationship Id="rId20" Type="http://schemas.openxmlformats.org/officeDocument/2006/relationships/hyperlink" Target="https://www.suin-juriscol.gov.co/legislacion/?q=Decreto%201377%20de%202013" TargetMode="External"/><Relationship Id="rId21" Type="http://schemas.openxmlformats.org/officeDocument/2006/relationships/hyperlink" Target="http://www.secretariasenado.gov.co/senado/basedoc/ley_1328_2009.html" TargetMode="External"/><Relationship Id="rId22" Type="http://schemas.openxmlformats.org/officeDocument/2006/relationships/hyperlink" Target="http://www.secretariasenado.gov.co/senado/basedoc/?q=Decision%20andina%20345" TargetMode="External"/><Relationship Id="rId23" Type="http://schemas.openxmlformats.org/officeDocument/2006/relationships/hyperlink" Target="http://www.secretariasenado.gov.co/senado/basedoc/ley_1915_2018.html" TargetMode="External"/><Relationship Id="rId24" Type="http://schemas.openxmlformats.org/officeDocument/2006/relationships/hyperlink" Target="http://www.secretariasenado.gov.co/senado/basedoc/ley_0044_1993.html" TargetMode="External"/><Relationship Id="rId25" Type="http://schemas.openxmlformats.org/officeDocument/2006/relationships/hyperlink" Target="https://www.corteconstitucional.gov.co/relatoria/?q=Sentencia%20C-1011%20de%202008" TargetMode="External"/><Relationship Id="rId26" Type="http://schemas.openxmlformats.org/officeDocument/2006/relationships/hyperlink" Target="https://www.corteconstitucional.gov.co/relatoria/?q=Sentencia%20C-1141%20de%202000" TargetMode="External"/><Relationship Id="rId27" Type="http://schemas.openxmlformats.org/officeDocument/2006/relationships/hyperlink" Target="https://www.sic.gov.co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secretariasenado.gov.co/senado/basedoc/constitucion_politica_1991.html?q=Constitucion" TargetMode="External"/><Relationship Id="rId2" Type="http://schemas.openxmlformats.org/officeDocument/2006/relationships/hyperlink" Target="http://www.secretariasenado.gov.co/senado/basedoc/?q=Decision%20andina%20486" TargetMode="External"/><Relationship Id="rId3" Type="http://schemas.openxmlformats.org/officeDocument/2006/relationships/hyperlink" Target="https://www.suin-juriscol.gov.co/legislacion/?q=Decreto%201082%20de%202015" TargetMode="External"/><Relationship Id="rId4" Type="http://schemas.openxmlformats.org/officeDocument/2006/relationships/hyperlink" Target="https://www.suin-juriscol.gov.co/legislacion/?q=Decreto%202067%20de%201991" TargetMode="External"/><Relationship Id="rId5" Type="http://schemas.openxmlformats.org/officeDocument/2006/relationships/hyperlink" Target="https://www.suin-juriscol.gov.co/legislacion/?q=Decreto%202153%20de%201992" TargetMode="External"/><Relationship Id="rId6" Type="http://schemas.openxmlformats.org/officeDocument/2006/relationships/hyperlink" Target="http://www.secretariasenado.gov.co/senado/basedoc/?q=Codigo%20sustantivo%20trabajo" TargetMode="External"/><Relationship Id="rId7" Type="http://schemas.openxmlformats.org/officeDocument/2006/relationships/hyperlink" Target="http://www.secretariasenado.gov.co/senado/basedoc/?q=Estatuto%20tributario" TargetMode="External"/><Relationship Id="rId8" Type="http://schemas.openxmlformats.org/officeDocument/2006/relationships/hyperlink" Target="https://www.suin-juriscol.gov.co/legislacion/?q=Decreto%20663%20de%201993" TargetMode="External"/><Relationship Id="rId9" Type="http://schemas.openxmlformats.org/officeDocument/2006/relationships/hyperlink" Target="https://www.suin-juriscol.gov.co/legislacion/?q=Ley%201010%20de%202006" TargetMode="External"/><Relationship Id="rId10" Type="http://schemas.openxmlformats.org/officeDocument/2006/relationships/hyperlink" Target="http://www.secretariasenado.gov.co/senado/basedoc/?q=Codigo%20infancia" TargetMode="External"/><Relationship Id="rId11" Type="http://schemas.openxmlformats.org/officeDocument/2006/relationships/hyperlink" Target="https://www.suin-juriscol.gov.co/legislacion/?q=Ley%201116%20de%202006" TargetMode="External"/><Relationship Id="rId12" Type="http://schemas.openxmlformats.org/officeDocument/2006/relationships/hyperlink" Target="https://www.suin-juriscol.gov.co/legislacion/?q=Ley%201150%20de%202007" TargetMode="External"/><Relationship Id="rId13" Type="http://schemas.openxmlformats.org/officeDocument/2006/relationships/hyperlink" Target="https://www.suin-juriscol.gov.co/legislacion/?q=Ley%201258%20de%202008" TargetMode="External"/><Relationship Id="rId14" Type="http://schemas.openxmlformats.org/officeDocument/2006/relationships/hyperlink" Target="https://www.suin-juriscol.gov.co/legislacion/?q=Ley%201340%20de%202009" TargetMode="External"/><Relationship Id="rId15" Type="http://schemas.openxmlformats.org/officeDocument/2006/relationships/hyperlink" Target="http://www.secretariasenado.gov.co/senado/basedoc/?q=Estatuto%20consumidor" TargetMode="External"/><Relationship Id="rId16" Type="http://schemas.openxmlformats.org/officeDocument/2006/relationships/hyperlink" Target="https://www.suin-juriscol.gov.co/legislacion/?q=Ley%20153%20de%201887" TargetMode="External"/><Relationship Id="rId17" Type="http://schemas.openxmlformats.org/officeDocument/2006/relationships/hyperlink" Target="https://www.suin-juriscol.gov.co/legislacion/?q=Ley%201562%20de%202012" TargetMode="External"/><Relationship Id="rId18" Type="http://schemas.openxmlformats.org/officeDocument/2006/relationships/hyperlink" Target="http://www.secretariasenado.gov.co/senado/basedoc/?q=Codigo%20general%20proceso" TargetMode="External"/><Relationship Id="rId19" Type="http://schemas.openxmlformats.org/officeDocument/2006/relationships/hyperlink" Target="https://www.suin-juriscol.gov.co/legislacion/?q=Ley%201581%20de%202012" TargetMode="External"/><Relationship Id="rId20" Type="http://schemas.openxmlformats.org/officeDocument/2006/relationships/hyperlink" Target="https://www.suin-juriscol.gov.co/legislacion/?q=Ley%201755%20de%202015" TargetMode="External"/><Relationship Id="rId21" Type="http://schemas.openxmlformats.org/officeDocument/2006/relationships/hyperlink" Target="http://www.secretariasenado.gov.co/senado/basedoc/?q=Codigo%20disciplinario" TargetMode="External"/><Relationship Id="rId22" Type="http://schemas.openxmlformats.org/officeDocument/2006/relationships/hyperlink" Target="https://www.suin-juriscol.gov.co/legislacion/?q=Ley%202220%20de%202022" TargetMode="External"/><Relationship Id="rId23" Type="http://schemas.openxmlformats.org/officeDocument/2006/relationships/hyperlink" Target="https://www.suin-juriscol.gov.co/legislacion/?q=Ley%202452%20de%202025" TargetMode="External"/><Relationship Id="rId24" Type="http://schemas.openxmlformats.org/officeDocument/2006/relationships/hyperlink" Target="https://www.suin-juriscol.gov.co/legislacion/?q=Ley%202466%20de%202025" TargetMode="External"/><Relationship Id="rId25" Type="http://schemas.openxmlformats.org/officeDocument/2006/relationships/hyperlink" Target="https://www.suin-juriscol.gov.co/legislacion/?q=Ley%20256%20de%201996" TargetMode="External"/><Relationship Id="rId26" Type="http://schemas.openxmlformats.org/officeDocument/2006/relationships/hyperlink" Target="https://www.suin-juriscol.gov.co/legislacion/?q=Ley%2054%20de%201990" TargetMode="External"/><Relationship Id="rId27" Type="http://schemas.openxmlformats.org/officeDocument/2006/relationships/hyperlink" Target="https://www.suin-juriscol.gov.co/legislacion/?q=Ley%2080%20de%201993" TargetMode="External"/><Relationship Id="rId28" Type="http://schemas.openxmlformats.org/officeDocument/2006/relationships/hyperlink" Target="https://www.suin-juriscol.gov.co/legislacion/?q=Ley%20979%20de%202005" TargetMode="External"/><Relationship Id="rId29" Type="http://schemas.openxmlformats.org/officeDocument/2006/relationships/hyperlink" Target="https://www.corteconstitucional.gov.co/relatoria/?q=Sentencia%20C-39%20de%202025" TargetMode="External"/><Relationship Id="rId30" Type="http://schemas.openxmlformats.org/officeDocument/2006/relationships/hyperlink" Target="https://www.corteconstitucional.gov.co/relatoria/?q=Sentencia%20C-145%20de%202018" TargetMode="External"/><Relationship Id="rId31" Type="http://schemas.openxmlformats.org/officeDocument/2006/relationships/hyperlink" Target="https://www.corteconstitucional.gov.co/relatoria/?q=Sentencia%20C-332%20de%202025" TargetMode="External"/><Relationship Id="rId32" Type="http://schemas.openxmlformats.org/officeDocument/2006/relationships/hyperlink" Target="https://www.corteconstitucional.gov.co/relatoria/?q=Sentencia%20C-355%20de%202006" TargetMode="External"/><Relationship Id="rId33" Type="http://schemas.openxmlformats.org/officeDocument/2006/relationships/hyperlink" Target="https://www.corteconstitucional.gov.co/relatoria/?q=Sentencia%20C-891%20de%202012" TargetMode="External"/><Relationship Id="rId34" Type="http://schemas.openxmlformats.org/officeDocument/2006/relationships/hyperlink" Target="https://www.corteconstitucional.gov.co/relatoria/?q=Sentencia%20SL-3385%20de%202022" TargetMode="External"/><Relationship Id="rId35" Type="http://schemas.openxmlformats.org/officeDocument/2006/relationships/hyperlink" Target="https://www.corteconstitucional.gov.co/relatoria/?q=Sentencia%20SU-455%20de%202020" TargetMode="External"/><Relationship Id="rId36" Type="http://schemas.openxmlformats.org/officeDocument/2006/relationships/hyperlink" Target="https://www.suin-juriscol.gov.co/legislacion/?q=Ley%201095%20de%202006" TargetMode="External"/><Relationship Id="rId37" Type="http://schemas.openxmlformats.org/officeDocument/2006/relationships/hyperlink" Target="https://www.suin-juriscol.gov.co/legislacion/?q=Ley%202141%20de%202021" TargetMode="External"/><Relationship Id="rId38" Type="http://schemas.openxmlformats.org/officeDocument/2006/relationships/hyperlink" Target="https://www.suin-juriscol.gov.co/legislacion/?q=Ley%202437%20de%202024" TargetMode="External"/><Relationship Id="rId39" Type="http://schemas.openxmlformats.org/officeDocument/2006/relationships/hyperlink" Target="https://www.suin-juriscol.gov.co/legislacion/?q=Ley%2050%20de%201990" TargetMode="External"/><Relationship Id="rId40" Type="http://schemas.openxmlformats.org/officeDocument/2006/relationships/hyperlink" Target="https://www.corteconstitucional.gov.co/relatoria/?q=Sentencia%20C-15%20de%202018" TargetMode="External"/><Relationship Id="rId41" Type="http://schemas.openxmlformats.org/officeDocument/2006/relationships/hyperlink" Target="https://www.corteconstitucional.gov.co/relatoria/?q=Sentencia%20C-35%20de%202009" TargetMode="External"/><Relationship Id="rId42" Type="http://schemas.openxmlformats.org/officeDocument/2006/relationships/hyperlink" Target="https://www.corteconstitucional.gov.co/relatoria/?q=Sentencia%20C-55%20de%202022" TargetMode="External"/><Relationship Id="rId43" Type="http://schemas.openxmlformats.org/officeDocument/2006/relationships/hyperlink" Target="https://www.corteconstitucional.gov.co/relatoria/?q=Sentencia%20C-94%20de%202021" TargetMode="External"/><Relationship Id="rId44" Type="http://schemas.openxmlformats.org/officeDocument/2006/relationships/hyperlink" Target="https://www.corteconstitucional.gov.co/relatoria/?q=Sentencia%20C-96%20de%202024" TargetMode="External"/><Relationship Id="rId45" Type="http://schemas.openxmlformats.org/officeDocument/2006/relationships/hyperlink" Target="https://www.corteconstitucional.gov.co/relatoria/?q=Sentencia%20C-117%20de%202018" TargetMode="External"/><Relationship Id="rId46" Type="http://schemas.openxmlformats.org/officeDocument/2006/relationships/hyperlink" Target="https://www.corteconstitucional.gov.co/relatoria/?q=Sentencia%20C-127%20de%202011" TargetMode="External"/><Relationship Id="rId47" Type="http://schemas.openxmlformats.org/officeDocument/2006/relationships/hyperlink" Target="https://www.corteconstitucional.gov.co/relatoria/?q=Sentencia%20C-134%20de%202019" TargetMode="External"/><Relationship Id="rId48" Type="http://schemas.openxmlformats.org/officeDocument/2006/relationships/hyperlink" Target="https://www.corteconstitucional.gov.co/relatoria/?q=Sentencia%20C-164%20de%202022" TargetMode="External"/><Relationship Id="rId49" Type="http://schemas.openxmlformats.org/officeDocument/2006/relationships/hyperlink" Target="https://www.corteconstitucional.gov.co/relatoria/?q=Sentencia%20C-207%20de%202019" TargetMode="External"/><Relationship Id="rId50" Type="http://schemas.openxmlformats.org/officeDocument/2006/relationships/hyperlink" Target="https://www.corteconstitucional.gov.co/relatoria/?q=Sentencia%20C-259%20de%202015" TargetMode="External"/><Relationship Id="rId51" Type="http://schemas.openxmlformats.org/officeDocument/2006/relationships/hyperlink" Target="https://www.corteconstitucional.gov.co/relatoria/?q=Sentencia%20C-394%20de%202017" TargetMode="External"/><Relationship Id="rId52" Type="http://schemas.openxmlformats.org/officeDocument/2006/relationships/hyperlink" Target="https://www.corteconstitucional.gov.co/relatoria/?q=Sentencia%20C-431%20de%202001" TargetMode="External"/><Relationship Id="rId53" Type="http://schemas.openxmlformats.org/officeDocument/2006/relationships/hyperlink" Target="https://www.corteconstitucional.gov.co/relatoria/?q=Sentencia%20C-500%20de%202024" TargetMode="External"/><Relationship Id="rId54" Type="http://schemas.openxmlformats.org/officeDocument/2006/relationships/hyperlink" Target="https://www.corteconstitucional.gov.co/relatoria/?q=Sentencia%20C-507%20de%202004" TargetMode="External"/><Relationship Id="rId55" Type="http://schemas.openxmlformats.org/officeDocument/2006/relationships/hyperlink" Target="https://www.corteconstitucional.gov.co/relatoria/?q=Sentencia%20C-540%20de%202023" TargetMode="External"/><Relationship Id="rId56" Type="http://schemas.openxmlformats.org/officeDocument/2006/relationships/hyperlink" Target="https://www.corteconstitucional.gov.co/relatoria/?q=Sentencia%20C-582%20de%201999" TargetMode="External"/><Relationship Id="rId57" Type="http://schemas.openxmlformats.org/officeDocument/2006/relationships/hyperlink" Target="https://www.corteconstitucional.gov.co/relatoria/?q=Sentencia%20C-746%20de%202011" TargetMode="External"/><Relationship Id="rId58" Type="http://schemas.openxmlformats.org/officeDocument/2006/relationships/hyperlink" Target="https://www.corteconstitucional.gov.co/relatoria/?q=Sentencia%20C-748%20de%202011" TargetMode="External"/><Relationship Id="rId59" Type="http://schemas.openxmlformats.org/officeDocument/2006/relationships/hyperlink" Target="https://www.corteconstitucional.gov.co/relatoria/?q=Sentencia%20SL-648%20de%202018" TargetMode="External"/><Relationship Id="rId60" Type="http://schemas.openxmlformats.org/officeDocument/2006/relationships/hyperlink" Target="https://www.corteconstitucional.gov.co/relatoria/?q=Sentencia%20SP-1680%20de%202022" TargetMode="External"/><Relationship Id="rId61" Type="http://schemas.openxmlformats.org/officeDocument/2006/relationships/hyperlink" Target="https://www.corteconstitucional.gov.co/relatoria/?q=Sentencia%20SP-1945%20de%202019" TargetMode="External"/><Relationship Id="rId62" Type="http://schemas.openxmlformats.org/officeDocument/2006/relationships/hyperlink" Target="https://www.corteconstitucional.gov.co/relatoria/?q=Sentencia%20SU-11%20de%202020" TargetMode="External"/><Relationship Id="rId63" Type="http://schemas.openxmlformats.org/officeDocument/2006/relationships/hyperlink" Target="https://www.corteconstitucional.gov.co/relatoria/?q=Sentencia%20SU-27%20de%202021" TargetMode="External"/><Relationship Id="rId64" Type="http://schemas.openxmlformats.org/officeDocument/2006/relationships/hyperlink" Target="https://www.corteconstitucional.gov.co/relatoria/?q=Sentencia%20SU-111%20de%202025" TargetMode="External"/><Relationship Id="rId65" Type="http://schemas.openxmlformats.org/officeDocument/2006/relationships/hyperlink" Target="https://www.corteconstitucional.gov.co/relatoria/?q=Sentencia%20SU-138%20de%202024" TargetMode="External"/><Relationship Id="rId66" Type="http://schemas.openxmlformats.org/officeDocument/2006/relationships/hyperlink" Target="https://www.corteconstitucional.gov.co/relatoria/?q=Sentencia%20SU-149%20de%202021" TargetMode="External"/><Relationship Id="rId67" Type="http://schemas.openxmlformats.org/officeDocument/2006/relationships/hyperlink" Target="https://www.corteconstitucional.gov.co/relatoria/?q=Sentencia%20SU-207%20de%202022" TargetMode="External"/><Relationship Id="rId68" Type="http://schemas.openxmlformats.org/officeDocument/2006/relationships/hyperlink" Target="https://www.corteconstitucional.gov.co/relatoria/?q=Sentencia%20SU-214%20de%202016" TargetMode="External"/><Relationship Id="rId69" Type="http://schemas.openxmlformats.org/officeDocument/2006/relationships/hyperlink" Target="https://www.corteconstitucional.gov.co/relatoria/?q=Sentencia%20SU-240%20de%202015" TargetMode="External"/><Relationship Id="rId70" Type="http://schemas.openxmlformats.org/officeDocument/2006/relationships/hyperlink" Target="https://www.corteconstitucional.gov.co/relatoria/?q=Sentencia%20SU-296%20de%202023" TargetMode="External"/><Relationship Id="rId71" Type="http://schemas.openxmlformats.org/officeDocument/2006/relationships/hyperlink" Target="https://www.corteconstitucional.gov.co/relatoria/?q=Sentencia%20SU-315%20de%202025" TargetMode="External"/><Relationship Id="rId72" Type="http://schemas.openxmlformats.org/officeDocument/2006/relationships/hyperlink" Target="https://www.corteconstitucional.gov.co/relatoria/?q=Sentencia%20SU-380%20de%202021" TargetMode="External"/><Relationship Id="rId73" Type="http://schemas.openxmlformats.org/officeDocument/2006/relationships/hyperlink" Target="https://www.corteconstitucional.gov.co/relatoria/?q=Sentencia%20SU-396%20de%202024" TargetMode="External"/><Relationship Id="rId74" Type="http://schemas.openxmlformats.org/officeDocument/2006/relationships/hyperlink" Target="https://www.corteconstitucional.gov.co/relatoria/?q=Sentencia%20SU-425%20de%202025" TargetMode="External"/><Relationship Id="rId75" Type="http://schemas.openxmlformats.org/officeDocument/2006/relationships/hyperlink" Target="https://www.corteconstitucional.gov.co/relatoria/?q=Sentencia%20SU-429%20de%202024" TargetMode="External"/><Relationship Id="rId76" Type="http://schemas.openxmlformats.org/officeDocument/2006/relationships/hyperlink" Target="https://www.corteconstitucional.gov.co/relatoria/?q=Sentencia%20SU-431%20de%202015" TargetMode="External"/><Relationship Id="rId77" Type="http://schemas.openxmlformats.org/officeDocument/2006/relationships/hyperlink" Target="https://www.corteconstitucional.gov.co/relatoria/?q=Sentencia%20SU-488%20de%202011" TargetMode="External"/><Relationship Id="rId78" Type="http://schemas.openxmlformats.org/officeDocument/2006/relationships/hyperlink" Target="https://www.corteconstitucional.gov.co/relatoria/?q=Sentencia%20SU-500%20de%202015" TargetMode="External"/><Relationship Id="rId79" Type="http://schemas.openxmlformats.org/officeDocument/2006/relationships/hyperlink" Target="https://www.corteconstitucional.gov.co/relatoria/?q=Sentencia%20SU-566%20de%202015" TargetMode="External"/><Relationship Id="rId80" Type="http://schemas.openxmlformats.org/officeDocument/2006/relationships/hyperlink" Target="https://www.corteconstitucional.gov.co/relatoria/?q=Sentencia%20T-243%20de%202018" TargetMode="External"/><Relationship Id="rId81" Type="http://schemas.openxmlformats.org/officeDocument/2006/relationships/hyperlink" Target="https://www.corteconstitucional.gov.co/relatoria/?q=Sentencia%20T-323%20de%202024" TargetMode="External"/><Relationship Id="rId82" Type="http://schemas.openxmlformats.org/officeDocument/2006/relationships/hyperlink" Target="https://www.corteconstitucional.gov.co/relatoria/?q=Sentencia%20T-547%20de%202017" TargetMode="External"/><Relationship Id="rId83" Type="http://schemas.openxmlformats.org/officeDocument/2006/relationships/hyperlink" Target="https://www.corteconstitucional.gov.co/relatoria/?q=Sentencia%20T-760%20de%202008" TargetMode="External"/><Relationship Id="rId84" Type="http://schemas.openxmlformats.org/officeDocument/2006/relationships/hyperlink" Target="https://www.suin-juriscol.gov.co/legislacion/?q=Acuerdo%2002%20de%202015" TargetMode="External"/><Relationship Id="rId85" Type="http://schemas.openxmlformats.org/officeDocument/2006/relationships/hyperlink" Target="https://www.suin-juriscol.gov.co/legislacion/?q=Decreto%201563%20de%202012" TargetMode="External"/><Relationship Id="rId86" Type="http://schemas.openxmlformats.org/officeDocument/2006/relationships/hyperlink" Target="https://www.suin-juriscol.gov.co/legislacion/?q=Decreto%201742%20de%202020" TargetMode="External"/><Relationship Id="rId87" Type="http://schemas.openxmlformats.org/officeDocument/2006/relationships/hyperlink" Target="https://www.suin-juriscol.gov.co/legislacion/?q=Decreto%20175%20de%202025" TargetMode="External"/><Relationship Id="rId88" Type="http://schemas.openxmlformats.org/officeDocument/2006/relationships/hyperlink" Target="https://www.suin-juriscol.gov.co/legislacion/?q=Decreto%2024%20de%202016" TargetMode="External"/><Relationship Id="rId89" Type="http://schemas.openxmlformats.org/officeDocument/2006/relationships/hyperlink" Target="https://www.suin-juriscol.gov.co/legislacion/?q=Decreto%20405%20de%202025" TargetMode="External"/><Relationship Id="rId90" Type="http://schemas.openxmlformats.org/officeDocument/2006/relationships/hyperlink" Target="https://www.suin-juriscol.gov.co/legislacion/?q=Decreto%204334%20de%202008" TargetMode="External"/><Relationship Id="rId91" Type="http://schemas.openxmlformats.org/officeDocument/2006/relationships/hyperlink" Target="https://www.suin-juriscol.gov.co/legislacion/?q=Decreto%204436%20de%202005" TargetMode="External"/><Relationship Id="rId92" Type="http://schemas.openxmlformats.org/officeDocument/2006/relationships/hyperlink" Target="https://www.suin-juriscol.gov.co/legislacion/?q=Decreto%20046%20de%202024" TargetMode="External"/><Relationship Id="rId93" Type="http://schemas.openxmlformats.org/officeDocument/2006/relationships/hyperlink" Target="https://www.suin-juriscol.gov.co/legislacion/?q=Decreto%204886%20de%202011" TargetMode="External"/><Relationship Id="rId94" Type="http://schemas.openxmlformats.org/officeDocument/2006/relationships/hyperlink" Target="https://www.suin-juriscol.gov.co/legislacion/?q=Decreto%20780%20de%202016" TargetMode="External"/><Relationship Id="rId95" Type="http://schemas.openxmlformats.org/officeDocument/2006/relationships/hyperlink" Target="https://www.suin-juriscol.gov.co/legislacion/?q=Decreto%20875%20de%202008" TargetMode="External"/><Relationship Id="rId96" Type="http://schemas.openxmlformats.org/officeDocument/2006/relationships/hyperlink" Target="https://www.suin-juriscol.gov.co/legislacion/?q=Decreto%20960%20de%201970" TargetMode="External"/><Relationship Id="rId97" Type="http://schemas.openxmlformats.org/officeDocument/2006/relationships/hyperlink" Target="https://www.suin-juriscol.gov.co/legislacion/?q=Ley%2011500%20de%202007" TargetMode="External"/><Relationship Id="rId98" Type="http://schemas.openxmlformats.org/officeDocument/2006/relationships/hyperlink" Target="https://www.suin-juriscol.gov.co/legislacion/?q=Ley%201150%20de%202005" TargetMode="External"/><Relationship Id="rId99" Type="http://schemas.openxmlformats.org/officeDocument/2006/relationships/hyperlink" Target="https://www.suin-juriscol.gov.co/legislacion/?q=Ley%201151%20de%202007" TargetMode="External"/><Relationship Id="rId100" Type="http://schemas.openxmlformats.org/officeDocument/2006/relationships/hyperlink" Target="https://www.suin-juriscol.gov.co/legislacion/?q=Ley%20116%20de%202006" TargetMode="External"/><Relationship Id="rId101" Type="http://schemas.openxmlformats.org/officeDocument/2006/relationships/hyperlink" Target="https://www.suin-juriscol.gov.co/legislacion/?q=Ley%20137%20de%201994" TargetMode="External"/><Relationship Id="rId102" Type="http://schemas.openxmlformats.org/officeDocument/2006/relationships/hyperlink" Target="https://www.suin-juriscol.gov.co/legislacion/?q=Ley%201473%20de%202011" TargetMode="External"/><Relationship Id="rId103" Type="http://schemas.openxmlformats.org/officeDocument/2006/relationships/hyperlink" Target="https://www.suin-juriscol.gov.co/legislacion/?q=Ley%20155%20de%201959" TargetMode="External"/><Relationship Id="rId104" Type="http://schemas.openxmlformats.org/officeDocument/2006/relationships/hyperlink" Target="https://www.suin-juriscol.gov.co/legislacion/?q=Ley%201607%20de%202012" TargetMode="External"/><Relationship Id="rId105" Type="http://schemas.openxmlformats.org/officeDocument/2006/relationships/hyperlink" Target="https://www.suin-juriscol.gov.co/legislacion/?q=Ley%20160%20de%201994" TargetMode="External"/><Relationship Id="rId106" Type="http://schemas.openxmlformats.org/officeDocument/2006/relationships/hyperlink" Target="https://www.suin-juriscol.gov.co/legislacion/?q=Ley%201692%20de%202017" TargetMode="External"/><Relationship Id="rId107" Type="http://schemas.openxmlformats.org/officeDocument/2006/relationships/hyperlink" Target="https://www.suin-juriscol.gov.co/legislacion/?q=Ley%201700%20de%202013" TargetMode="External"/><Relationship Id="rId108" Type="http://schemas.openxmlformats.org/officeDocument/2006/relationships/hyperlink" Target="http://www.secretariasenado.gov.co/senado/basedoc/?q=Codigo%20nacional%20policia" TargetMode="External"/><Relationship Id="rId109" Type="http://schemas.openxmlformats.org/officeDocument/2006/relationships/hyperlink" Target="https://www.suin-juriscol.gov.co/legislacion/?q=Ley%201819%20de%202016" TargetMode="External"/><Relationship Id="rId110" Type="http://schemas.openxmlformats.org/officeDocument/2006/relationships/hyperlink" Target="https://www.suin-juriscol.gov.co/legislacion/?q=Ley%201909%20de%202018" TargetMode="External"/><Relationship Id="rId111" Type="http://schemas.openxmlformats.org/officeDocument/2006/relationships/hyperlink" Target="https://www.suin-juriscol.gov.co/legislacion/?q=Ley%202114%20de%202021" TargetMode="External"/><Relationship Id="rId112" Type="http://schemas.openxmlformats.org/officeDocument/2006/relationships/hyperlink" Target="https://www.suin-juriscol.gov.co/legislacion/?q=Ley%202157%20de%202021" TargetMode="External"/><Relationship Id="rId113" Type="http://schemas.openxmlformats.org/officeDocument/2006/relationships/hyperlink" Target="https://www.suin-juriscol.gov.co/legislacion/?q=Ley%202160%20de%202021" TargetMode="External"/><Relationship Id="rId114" Type="http://schemas.openxmlformats.org/officeDocument/2006/relationships/hyperlink" Target="https://www.suin-juriscol.gov.co/legislacion/?q=Ley%202251%20de%202022" TargetMode="External"/><Relationship Id="rId115" Type="http://schemas.openxmlformats.org/officeDocument/2006/relationships/hyperlink" Target="https://www.suin-juriscol.gov.co/legislacion/?q=Ley%2023%20de%201961" TargetMode="External"/><Relationship Id="rId116" Type="http://schemas.openxmlformats.org/officeDocument/2006/relationships/hyperlink" Target="https://www.suin-juriscol.gov.co/legislacion/?q=Ley%202737%20de%201989" TargetMode="External"/><Relationship Id="rId117" Type="http://schemas.openxmlformats.org/officeDocument/2006/relationships/hyperlink" Target="https://www.suin-juriscol.gov.co/legislacion/?q=Ley%2029%20de%201982" TargetMode="External"/><Relationship Id="rId118" Type="http://schemas.openxmlformats.org/officeDocument/2006/relationships/hyperlink" Target="https://www.suin-juriscol.gov.co/legislacion/?q=Ley%20527%20de%201999" TargetMode="External"/><Relationship Id="rId119" Type="http://schemas.openxmlformats.org/officeDocument/2006/relationships/hyperlink" Target="https://www.suin-juriscol.gov.co/legislacion/?q=Ley%20600%20de%202000" TargetMode="External"/><Relationship Id="rId120" Type="http://schemas.openxmlformats.org/officeDocument/2006/relationships/hyperlink" Target="https://www.suin-juriscol.gov.co/legislacion/?q=Ley%20640%20de%202001" TargetMode="External"/><Relationship Id="rId121" Type="http://schemas.openxmlformats.org/officeDocument/2006/relationships/hyperlink" Target="https://www.suin-juriscol.gov.co/legislacion/?q=Ley%20678%20de%202001" TargetMode="External"/><Relationship Id="rId122" Type="http://schemas.openxmlformats.org/officeDocument/2006/relationships/hyperlink" Target="https://www.suin-juriscol.gov.co/legislacion/?q=Ley%20721%20de%202001" TargetMode="External"/><Relationship Id="rId123" Type="http://schemas.openxmlformats.org/officeDocument/2006/relationships/hyperlink" Target="https://www.suin-juriscol.gov.co/legislacion/?q=Ley%2075%20de%201968" TargetMode="External"/><Relationship Id="rId124" Type="http://schemas.openxmlformats.org/officeDocument/2006/relationships/hyperlink" Target="https://www.suin-juriscol.gov.co/legislacion/?q=Ley%20769%20de%202002" TargetMode="External"/><Relationship Id="rId125" Type="http://schemas.openxmlformats.org/officeDocument/2006/relationships/hyperlink" Target="https://www.suin-juriscol.gov.co/legislacion/?q=Ley%20820%20de%202003" TargetMode="External"/><Relationship Id="rId126" Type="http://schemas.openxmlformats.org/officeDocument/2006/relationships/hyperlink" Target="https://www.suin-juriscol.gov.co/legislacion/?q=Ley%20964%20de%202006" TargetMode="External"/><Relationship Id="rId127" Type="http://schemas.openxmlformats.org/officeDocument/2006/relationships/hyperlink" Target="https://www.corteconstitucional.gov.co/relatoria/?q=Sentencia%20C-4%20de%201998" TargetMode="External"/><Relationship Id="rId128" Type="http://schemas.openxmlformats.org/officeDocument/2006/relationships/hyperlink" Target="https://www.corteconstitucional.gov.co/relatoria/?q=Sentencia%20C-22%20de%201996" TargetMode="External"/><Relationship Id="rId129" Type="http://schemas.openxmlformats.org/officeDocument/2006/relationships/hyperlink" Target="https://www.corteconstitucional.gov.co/relatoria/?q=Sentencia%20C-80%20de%202025" TargetMode="External"/><Relationship Id="rId130" Type="http://schemas.openxmlformats.org/officeDocument/2006/relationships/hyperlink" Target="https://www.corteconstitucional.gov.co/relatoria/?q=Sentencia%20C-1033%20de%202002" TargetMode="External"/><Relationship Id="rId131" Type="http://schemas.openxmlformats.org/officeDocument/2006/relationships/hyperlink" Target="https://www.corteconstitucional.gov.co/relatoria/?q=Sentencia%20C-106%20de%202018" TargetMode="External"/><Relationship Id="rId132" Type="http://schemas.openxmlformats.org/officeDocument/2006/relationships/hyperlink" Target="https://www.corteconstitucional.gov.co/relatoria/?q=Sentencia%20C-1189%20de%202000" TargetMode="External"/><Relationship Id="rId133" Type="http://schemas.openxmlformats.org/officeDocument/2006/relationships/hyperlink" Target="https://www.corteconstitucional.gov.co/relatoria/?q=Sentencia%20C-131%20de%202018" TargetMode="External"/><Relationship Id="rId134" Type="http://schemas.openxmlformats.org/officeDocument/2006/relationships/hyperlink" Target="https://www.corteconstitucional.gov.co/relatoria/?q=Sentencia%20C-145%20de%202020" TargetMode="External"/><Relationship Id="rId135" Type="http://schemas.openxmlformats.org/officeDocument/2006/relationships/hyperlink" Target="https://www.corteconstitucional.gov.co/relatoria/?q=Sentencia%20C-149%20de%201993" TargetMode="External"/><Relationship Id="rId136" Type="http://schemas.openxmlformats.org/officeDocument/2006/relationships/hyperlink" Target="https://www.corteconstitucional.gov.co/relatoria/?q=Sentencia%20C-170%20de%202004" TargetMode="External"/><Relationship Id="rId137" Type="http://schemas.openxmlformats.org/officeDocument/2006/relationships/hyperlink" Target="https://www.corteconstitucional.gov.co/relatoria/?q=Sentencia%20C-183%20de%202025" TargetMode="External"/><Relationship Id="rId138" Type="http://schemas.openxmlformats.org/officeDocument/2006/relationships/hyperlink" Target="https://www.corteconstitucional.gov.co/relatoria/?q=Sentencia%20C-201%20de%202002" TargetMode="External"/><Relationship Id="rId139" Type="http://schemas.openxmlformats.org/officeDocument/2006/relationships/hyperlink" Target="https://www.corteconstitucional.gov.co/relatoria/?q=Sentencia%20C-225%20de%201995" TargetMode="External"/><Relationship Id="rId140" Type="http://schemas.openxmlformats.org/officeDocument/2006/relationships/hyperlink" Target="https://www.corteconstitucional.gov.co/relatoria/?q=Sentencia%20C-233%20de%202021" TargetMode="External"/><Relationship Id="rId141" Type="http://schemas.openxmlformats.org/officeDocument/2006/relationships/hyperlink" Target="https://www.corteconstitucional.gov.co/relatoria/?q=Sentencia%20C-239%20de%201997" TargetMode="External"/><Relationship Id="rId142" Type="http://schemas.openxmlformats.org/officeDocument/2006/relationships/hyperlink" Target="https://www.corteconstitucional.gov.co/relatoria/?q=Sentencia%20C-276%20de%202025" TargetMode="External"/><Relationship Id="rId143" Type="http://schemas.openxmlformats.org/officeDocument/2006/relationships/hyperlink" Target="https://www.corteconstitucional.gov.co/relatoria/?q=Sentencia%20C-335%20de%202008" TargetMode="External"/><Relationship Id="rId144" Type="http://schemas.openxmlformats.org/officeDocument/2006/relationships/hyperlink" Target="https://www.corteconstitucional.gov.co/relatoria/?q=Sentencia%20C-345%20de%202017" TargetMode="External"/><Relationship Id="rId145" Type="http://schemas.openxmlformats.org/officeDocument/2006/relationships/hyperlink" Target="https://www.corteconstitucional.gov.co/relatoria/?q=Sentencia%20C-389%20de%202023" TargetMode="External"/><Relationship Id="rId146" Type="http://schemas.openxmlformats.org/officeDocument/2006/relationships/hyperlink" Target="https://www.corteconstitucional.gov.co/relatoria/?q=Sentencia%20C-413%20de%201996" TargetMode="External"/><Relationship Id="rId147" Type="http://schemas.openxmlformats.org/officeDocument/2006/relationships/hyperlink" Target="https://www.corteconstitucional.gov.co/relatoria/?q=Sentencia%20C-459%20de%202023" TargetMode="External"/><Relationship Id="rId148" Type="http://schemas.openxmlformats.org/officeDocument/2006/relationships/hyperlink" Target="https://www.corteconstitucional.gov.co/relatoria/?q=Sentencia%20C-486%20de%201993" TargetMode="External"/><Relationship Id="rId149" Type="http://schemas.openxmlformats.org/officeDocument/2006/relationships/hyperlink" Target="https://www.corteconstitucional.gov.co/relatoria/?q=Sentencia%20C-533%20de%202000" TargetMode="External"/><Relationship Id="rId150" Type="http://schemas.openxmlformats.org/officeDocument/2006/relationships/hyperlink" Target="https://www.corteconstitucional.gov.co/relatoria/?q=Sentencia%20C-535%20de%202002" TargetMode="External"/><Relationship Id="rId151" Type="http://schemas.openxmlformats.org/officeDocument/2006/relationships/hyperlink" Target="https://www.corteconstitucional.gov.co/relatoria/?q=Sentencia%20C-537%20de%201995" TargetMode="External"/><Relationship Id="rId152" Type="http://schemas.openxmlformats.org/officeDocument/2006/relationships/hyperlink" Target="https://www.corteconstitucional.gov.co/relatoria/?q=Sentencia%20C-683%20de%202015" TargetMode="External"/><Relationship Id="rId153" Type="http://schemas.openxmlformats.org/officeDocument/2006/relationships/hyperlink" Target="https://www.corteconstitucional.gov.co/relatoria/?q=Sentencia%20C-700%20de%201999" TargetMode="External"/><Relationship Id="rId154" Type="http://schemas.openxmlformats.org/officeDocument/2006/relationships/hyperlink" Target="https://www.corteconstitucional.gov.co/relatoria/?q=Sentencia%20C-964%20de%202003" TargetMode="External"/><Relationship Id="rId155" Type="http://schemas.openxmlformats.org/officeDocument/2006/relationships/hyperlink" Target="https://www.corteconstitucional.gov.co/relatoria/?q=Sentencia%20C-985%20de%202010" TargetMode="External"/><Relationship Id="rId156" Type="http://schemas.openxmlformats.org/officeDocument/2006/relationships/hyperlink" Target="https://www.corteconstitucional.gov.co/relatoria/?q=Sentencia%20SC-1121%20de%202018" TargetMode="External"/><Relationship Id="rId157" Type="http://schemas.openxmlformats.org/officeDocument/2006/relationships/hyperlink" Target="https://www.corteconstitucional.gov.co/relatoria/?q=Sentencia%20SC-18392%20de%202017" TargetMode="External"/><Relationship Id="rId158" Type="http://schemas.openxmlformats.org/officeDocument/2006/relationships/hyperlink" Target="https://www.corteconstitucional.gov.co/relatoria/?q=Sentencia%20SC-3085%20de%202024" TargetMode="External"/><Relationship Id="rId159" Type="http://schemas.openxmlformats.org/officeDocument/2006/relationships/hyperlink" Target="https://www.corteconstitucional.gov.co/relatoria/?q=Sentencia%20SC-3674%20de%202021" TargetMode="External"/><Relationship Id="rId160" Type="http://schemas.openxmlformats.org/officeDocument/2006/relationships/hyperlink" Target="https://www.corteconstitucional.gov.co/relatoria/?q=Sentencia%20SC-425%20de%202024" TargetMode="External"/><Relationship Id="rId161" Type="http://schemas.openxmlformats.org/officeDocument/2006/relationships/hyperlink" Target="https://www.corteconstitucional.gov.co/relatoria/?q=Sentencia%20SC-8453%20de%202016" TargetMode="External"/><Relationship Id="rId162" Type="http://schemas.openxmlformats.org/officeDocument/2006/relationships/hyperlink" Target="https://www.corteconstitucional.gov.co/relatoria/?q=Sentencia%20SL-1050%20de%202023" TargetMode="External"/><Relationship Id="rId163" Type="http://schemas.openxmlformats.org/officeDocument/2006/relationships/hyperlink" Target="https://www.corteconstitucional.gov.co/relatoria/?q=Sentencia%20SL-1730%20de%202020" TargetMode="External"/><Relationship Id="rId164" Type="http://schemas.openxmlformats.org/officeDocument/2006/relationships/hyperlink" Target="https://www.corteconstitucional.gov.co/relatoria/?q=Sentencia%20SL-1972%20de%202025" TargetMode="External"/><Relationship Id="rId165" Type="http://schemas.openxmlformats.org/officeDocument/2006/relationships/hyperlink" Target="https://www.corteconstitucional.gov.co/relatoria/?q=Sentencia%20SP-1167%20de%202022" TargetMode="External"/><Relationship Id="rId166" Type="http://schemas.openxmlformats.org/officeDocument/2006/relationships/hyperlink" Target="https://www.corteconstitucional.gov.co/relatoria/?q=Sentencia%20SP-3218%20de%202021" TargetMode="External"/><Relationship Id="rId167" Type="http://schemas.openxmlformats.org/officeDocument/2006/relationships/hyperlink" Target="https://www.corteconstitucional.gov.co/relatoria/?q=Sentencia%20SU-6%20de%201991" TargetMode="External"/><Relationship Id="rId168" Type="http://schemas.openxmlformats.org/officeDocument/2006/relationships/hyperlink" Target="https://www.corteconstitucional.gov.co/relatoria/?q=Sentencia%20T-4%20de%202026" TargetMode="External"/><Relationship Id="rId169" Type="http://schemas.openxmlformats.org/officeDocument/2006/relationships/hyperlink" Target="https://www.corteconstitucional.gov.co/relatoria/?q=Sentencia%20T-26%20de%202025" TargetMode="External"/><Relationship Id="rId170" Type="http://schemas.openxmlformats.org/officeDocument/2006/relationships/hyperlink" Target="https://www.corteconstitucional.gov.co/relatoria/?q=Sentencia%20T-67%20de%202025" TargetMode="External"/><Relationship Id="rId171" Type="http://schemas.openxmlformats.org/officeDocument/2006/relationships/hyperlink" Target="https://www.corteconstitucional.gov.co/relatoria/?q=Sentencia%20T-71%20de%202016" TargetMode="External"/><Relationship Id="rId172" Type="http://schemas.openxmlformats.org/officeDocument/2006/relationships/hyperlink" Target="https://www.corteconstitucional.gov.co/relatoria/?q=Sentencia%20T-77%20de%202025" TargetMode="External"/><Relationship Id="rId173" Type="http://schemas.openxmlformats.org/officeDocument/2006/relationships/hyperlink" Target="https://www.corteconstitucional.gov.co/relatoria/?q=Sentencia%20T-1001%20de%202001" TargetMode="External"/><Relationship Id="rId174" Type="http://schemas.openxmlformats.org/officeDocument/2006/relationships/hyperlink" Target="https://www.corteconstitucional.gov.co/relatoria/?q=Sentencia%20T-1059%20de%202001" TargetMode="External"/><Relationship Id="rId175" Type="http://schemas.openxmlformats.org/officeDocument/2006/relationships/hyperlink" Target="https://www.corteconstitucional.gov.co/relatoria/?q=Sentencia%20T-1096%20de%202008" TargetMode="External"/><Relationship Id="rId176" Type="http://schemas.openxmlformats.org/officeDocument/2006/relationships/hyperlink" Target="https://www.corteconstitucional.gov.co/relatoria/?q=Sentencia%20T-145%20de%202016" TargetMode="External"/><Relationship Id="rId177" Type="http://schemas.openxmlformats.org/officeDocument/2006/relationships/hyperlink" Target="https://www.corteconstitucional.gov.co/relatoria/?q=Sentencia%20T-230%20de%202023" TargetMode="External"/><Relationship Id="rId178" Type="http://schemas.openxmlformats.org/officeDocument/2006/relationships/hyperlink" Target="https://www.corteconstitucional.gov.co/relatoria/?q=Sentencia%20T-232%20de%202025" TargetMode="External"/><Relationship Id="rId179" Type="http://schemas.openxmlformats.org/officeDocument/2006/relationships/hyperlink" Target="https://www.corteconstitucional.gov.co/relatoria/?q=Sentencia%20T-248%20de%202025" TargetMode="External"/><Relationship Id="rId180" Type="http://schemas.openxmlformats.org/officeDocument/2006/relationships/hyperlink" Target="https://www.corteconstitucional.gov.co/relatoria/?q=Sentencia%20T-262%20de%202025" TargetMode="External"/><Relationship Id="rId181" Type="http://schemas.openxmlformats.org/officeDocument/2006/relationships/hyperlink" Target="https://www.corteconstitucional.gov.co/relatoria/?q=Sentencia%20T-325%20de%202025" TargetMode="External"/><Relationship Id="rId182" Type="http://schemas.openxmlformats.org/officeDocument/2006/relationships/hyperlink" Target="https://www.corteconstitucional.gov.co/relatoria/?q=Sentencia%20T-350%20de%202025" TargetMode="External"/><Relationship Id="rId183" Type="http://schemas.openxmlformats.org/officeDocument/2006/relationships/hyperlink" Target="https://www.corteconstitucional.gov.co/relatoria/?q=Sentencia%20T-429%20de%202011" TargetMode="External"/><Relationship Id="rId184" Type="http://schemas.openxmlformats.org/officeDocument/2006/relationships/hyperlink" Target="https://www.corteconstitucional.gov.co/relatoria/?q=Sentencia%20T-445%20de%202024" TargetMode="External"/><Relationship Id="rId185" Type="http://schemas.openxmlformats.org/officeDocument/2006/relationships/hyperlink" Target="https://www.corteconstitucional.gov.co/relatoria/?q=Sentencia%20T-925%20de%202014" TargetMode="External"/><Relationship Id="rId186" Type="http://schemas.openxmlformats.org/officeDocument/2006/relationships/hyperlink" Target="https://www.corteconstitucional.gov.co/relatoria/?q=Sentencia%20T-970%20de%202014" TargetMode="External"/><Relationship Id="rId187" Type="http://schemas.openxmlformats.org/officeDocument/2006/relationships/hyperlink" Target="http://www.secretariasenado.gov.co/senado/basedoc/?q=Decision%20andina%20351" TargetMode="External"/><Relationship Id="rId188" Type="http://schemas.openxmlformats.org/officeDocument/2006/relationships/hyperlink" Target="http://www.secretariasenado.gov.co/senado/basedoc/decreto_2591_1991.html" TargetMode="External"/><Relationship Id="rId189" Type="http://schemas.openxmlformats.org/officeDocument/2006/relationships/hyperlink" Target="http://www.secretariasenado.gov.co/senado/basedoc/codigo_comercio.html" TargetMode="External"/><Relationship Id="rId190" Type="http://schemas.openxmlformats.org/officeDocument/2006/relationships/hyperlink" Target="https://www.dian.gov.co/" TargetMode="External"/><Relationship Id="rId191" Type="http://schemas.openxmlformats.org/officeDocument/2006/relationships/hyperlink" Target="http://www.secretariasenado.gov.co/senado/basedoc/ley_0100_1993.html" TargetMode="External"/><Relationship Id="rId192" Type="http://schemas.openxmlformats.org/officeDocument/2006/relationships/hyperlink" Target="http://www.secretariasenado.gov.co/senado/basedoc/ley_1266_2008.html" TargetMode="External"/><Relationship Id="rId193" Type="http://schemas.openxmlformats.org/officeDocument/2006/relationships/hyperlink" Target="http://www.secretariasenado.gov.co/senado/basedoc/ley_1437_2011.html" TargetMode="External"/><Relationship Id="rId194" Type="http://schemas.openxmlformats.org/officeDocument/2006/relationships/hyperlink" Target="http://www.secretariasenado.gov.co/senado/basedoc/ley_1563_2012.html" TargetMode="External"/><Relationship Id="rId195" Type="http://schemas.openxmlformats.org/officeDocument/2006/relationships/hyperlink" Target="http://www.secretariasenado.gov.co/senado/basedoc/ley_0222_1995.html" TargetMode="External"/><Relationship Id="rId196" Type="http://schemas.openxmlformats.org/officeDocument/2006/relationships/hyperlink" Target="http://www.secretariasenado.gov.co/senado/basedoc/ley_0023_1982.html" TargetMode="External"/><Relationship Id="rId197" Type="http://schemas.openxmlformats.org/officeDocument/2006/relationships/hyperlink" Target="http://www.secretariasenado.gov.co/senado/basedoc/ley_0270_1996.html" TargetMode="External"/><Relationship Id="rId198" Type="http://schemas.openxmlformats.org/officeDocument/2006/relationships/hyperlink" Target="http://www.secretariasenado.gov.co/senado/basedoc/ley_0472_1998.html" TargetMode="External"/><Relationship Id="rId199" Type="http://schemas.openxmlformats.org/officeDocument/2006/relationships/hyperlink" Target="http://www.secretariasenado.gov.co/senado/basedoc/ley_0489_1998.html" TargetMode="External"/><Relationship Id="rId200" Type="http://schemas.openxmlformats.org/officeDocument/2006/relationships/hyperlink" Target="http://www.secretariasenado.gov.co/senado/basedoc/ley_0599_2000.html" TargetMode="External"/><Relationship Id="rId201" Type="http://schemas.openxmlformats.org/officeDocument/2006/relationships/hyperlink" Target="http://www.secretariasenado.gov.co/senado/basedoc/codigo_civil.html" TargetMode="External"/><Relationship Id="rId202" Type="http://schemas.openxmlformats.org/officeDocument/2006/relationships/hyperlink" Target="http://www.secretariasenado.gov.co/senado/basedoc/ley_0906_2004.html" TargetMode="External"/><Relationship Id="rId203" Type="http://schemas.openxmlformats.org/officeDocument/2006/relationships/hyperlink" Target="https://www.corteconstitucional.gov.co/relatoria/?q=Sentencia%20C-468%20de%202024" TargetMode="External"/><Relationship Id="rId204" Type="http://schemas.openxmlformats.org/officeDocument/2006/relationships/hyperlink" Target="https://www.consejodeestado.gov.co/" TargetMode="External"/><Relationship Id="rId205" Type="http://schemas.openxmlformats.org/officeDocument/2006/relationships/hyperlink" Target="https://cortesuprema.gov.co/" TargetMode="External"/><Relationship Id="rId206" Type="http://schemas.openxmlformats.org/officeDocument/2006/relationships/hyperlink" Target="https://cortesuprema.gov.co/" TargetMode="External"/><Relationship Id="rId207" Type="http://schemas.openxmlformats.org/officeDocument/2006/relationships/hyperlink" Target="https://www.corteconstitucional.gov.co/relatoria/?q=Sentencia%20SU-016%20de%202020" TargetMode="External"/><Relationship Id="rId208" Type="http://schemas.openxmlformats.org/officeDocument/2006/relationships/hyperlink" Target="https://www.corteconstitucional.gov.co/relatoria/?q=Sentencia%20SU-277%20de%202025" TargetMode="External"/><Relationship Id="rId209" Type="http://schemas.openxmlformats.org/officeDocument/2006/relationships/hyperlink" Target="https://www.corteconstitucional.gov.co/relatoria/?q=Sentencia%20T-256%20de%202025" TargetMode="External"/><Relationship Id="rId210" Type="http://schemas.openxmlformats.org/officeDocument/2006/relationships/hyperlink" Target="https://www.supersociedades.gov.co/" TargetMode="External"/><Relationship Id="rId211" Type="http://schemas.openxmlformats.org/officeDocument/2006/relationships/hyperlink" Target="https://www.consejodeestado.gov.co/" TargetMode="External"/><Relationship Id="rId212" Type="http://schemas.openxmlformats.org/officeDocument/2006/relationships/hyperlink" Target="https://cortesuprema.gov.co/" TargetMode="External"/><Relationship Id="rId213" Type="http://schemas.openxmlformats.org/officeDocument/2006/relationships/hyperlink" Target="https://cortesuprema.gov.co/" TargetMode="External"/><Relationship Id="rId214" Type="http://schemas.openxmlformats.org/officeDocument/2006/relationships/hyperlink" Target="https://www.suin-juriscol.gov.co/legislacion/?q=Decreto%201072%20de%202015" TargetMode="External"/><Relationship Id="rId215" Type="http://schemas.openxmlformats.org/officeDocument/2006/relationships/hyperlink" Target="https://www.suin-juriscol.gov.co/legislacion/?q=Decreto%201074%20de%202015" TargetMode="External"/><Relationship Id="rId216" Type="http://schemas.openxmlformats.org/officeDocument/2006/relationships/hyperlink" Target="https://www.suin-juriscol.gov.co/legislacion/?q=Decreto%201083%20de%202015" TargetMode="External"/><Relationship Id="rId217" Type="http://schemas.openxmlformats.org/officeDocument/2006/relationships/hyperlink" Target="https://www.suin-juriscol.gov.co/legislacion/?q=Decreto%201333%20de%201986" TargetMode="External"/><Relationship Id="rId218" Type="http://schemas.openxmlformats.org/officeDocument/2006/relationships/hyperlink" Target="https://www.suin-juriscol.gov.co/legislacion/?q=Decreto%201377%20de%202013" TargetMode="External"/><Relationship Id="rId219" Type="http://schemas.openxmlformats.org/officeDocument/2006/relationships/hyperlink" Target="https://www.suin-juriscol.gov.co/legislacion/?q=Decreto%201625%20de%202016" TargetMode="External"/><Relationship Id="rId220" Type="http://schemas.openxmlformats.org/officeDocument/2006/relationships/hyperlink" Target="http://www.secretariasenado.gov.co/senado/basedoc/codigo_procedimental_laboral.html" TargetMode="External"/><Relationship Id="rId221" Type="http://schemas.openxmlformats.org/officeDocument/2006/relationships/hyperlink" Target="https://www.suin-juriscol.gov.co/legislacion/?q=Decreto%20333%20de%202021" TargetMode="External"/><Relationship Id="rId222" Type="http://schemas.openxmlformats.org/officeDocument/2006/relationships/hyperlink" Target="http://www.secretariasenado.gov.co/senado/basedoc/ley_1060_2006.html" TargetMode="External"/><Relationship Id="rId223" Type="http://schemas.openxmlformats.org/officeDocument/2006/relationships/hyperlink" Target="http://www.secretariasenado.gov.co/senado/basedoc/ley_1257_2008.html" TargetMode="External"/><Relationship Id="rId224" Type="http://schemas.openxmlformats.org/officeDocument/2006/relationships/hyperlink" Target="http://www.secretariasenado.gov.co/senado/basedoc/ley_1328_2009.html" TargetMode="External"/><Relationship Id="rId225" Type="http://schemas.openxmlformats.org/officeDocument/2006/relationships/hyperlink" Target="http://www.secretariasenado.gov.co/senado/basedoc/ley_0134_1994.html" TargetMode="External"/><Relationship Id="rId226" Type="http://schemas.openxmlformats.org/officeDocument/2006/relationships/hyperlink" Target="http://www.secretariasenado.gov.co/senado/basedoc/ley_0136_1994.html" TargetMode="External"/><Relationship Id="rId227" Type="http://schemas.openxmlformats.org/officeDocument/2006/relationships/hyperlink" Target="http://www.secretariasenado.gov.co/senado/basedoc/ley_1453_2011.html" TargetMode="External"/><Relationship Id="rId228" Type="http://schemas.openxmlformats.org/officeDocument/2006/relationships/hyperlink" Target="http://www.secretariasenado.gov.co/senado/basedoc/ley_1474_2011.html" TargetMode="External"/><Relationship Id="rId229" Type="http://schemas.openxmlformats.org/officeDocument/2006/relationships/hyperlink" Target="http://www.secretariasenado.gov.co/senado/basedoc/ley_0014_1983.html" TargetMode="External"/><Relationship Id="rId230" Type="http://schemas.openxmlformats.org/officeDocument/2006/relationships/hyperlink" Target="http://www.secretariasenado.gov.co/senado/basedoc/ley_1676_2013.html" TargetMode="External"/><Relationship Id="rId231" Type="http://schemas.openxmlformats.org/officeDocument/2006/relationships/hyperlink" Target="http://www.secretariasenado.gov.co/senado/basedoc/ley_1709_2014.html" TargetMode="External"/><Relationship Id="rId232" Type="http://schemas.openxmlformats.org/officeDocument/2006/relationships/hyperlink" Target="http://www.secretariasenado.gov.co/senado/basedoc/ley_1712_2014.html" TargetMode="External"/><Relationship Id="rId233" Type="http://schemas.openxmlformats.org/officeDocument/2006/relationships/hyperlink" Target="http://www.secretariasenado.gov.co/senado/basedoc/ley_1751_2015.html" TargetMode="External"/><Relationship Id="rId234" Type="http://schemas.openxmlformats.org/officeDocument/2006/relationships/hyperlink" Target="http://www.secretariasenado.gov.co/senado/basedoc/ley_1757_2015.html" TargetMode="External"/><Relationship Id="rId235" Type="http://schemas.openxmlformats.org/officeDocument/2006/relationships/hyperlink" Target="http://www.secretariasenado.gov.co/senado/basedoc/ley_1761_2015.html" TargetMode="External"/><Relationship Id="rId236" Type="http://schemas.openxmlformats.org/officeDocument/2006/relationships/hyperlink" Target="http://www.secretariasenado.gov.co/senado/basedoc/ley_1822_2017.html" TargetMode="External"/><Relationship Id="rId237" Type="http://schemas.openxmlformats.org/officeDocument/2006/relationships/hyperlink" Target="http://www.secretariasenado.gov.co/senado/basedoc/ley_1826_2017.html" TargetMode="External"/><Relationship Id="rId238" Type="http://schemas.openxmlformats.org/officeDocument/2006/relationships/hyperlink" Target="http://www.secretariasenado.gov.co/senado/basedoc/ley_1882_2018.html" TargetMode="External"/><Relationship Id="rId239" Type="http://schemas.openxmlformats.org/officeDocument/2006/relationships/hyperlink" Target="http://www.secretariasenado.gov.co/senado/basedoc/ley_1996_2019.html" TargetMode="External"/><Relationship Id="rId240" Type="http://schemas.openxmlformats.org/officeDocument/2006/relationships/hyperlink" Target="http://www.secretariasenado.gov.co/senado/basedoc/ley_2010_2019.html" TargetMode="External"/><Relationship Id="rId241" Type="http://schemas.openxmlformats.org/officeDocument/2006/relationships/hyperlink" Target="http://www.secretariasenado.gov.co/senado/basedoc/ley_2080_2021.html" TargetMode="External"/><Relationship Id="rId242" Type="http://schemas.openxmlformats.org/officeDocument/2006/relationships/hyperlink" Target="http://www.secretariasenado.gov.co/senado/basedoc/ley_2094_2021.html" TargetMode="External"/><Relationship Id="rId243" Type="http://schemas.openxmlformats.org/officeDocument/2006/relationships/hyperlink" Target="http://www.secretariasenado.gov.co/senado/basedoc/ley_2101_2021.html" TargetMode="External"/><Relationship Id="rId244" Type="http://schemas.openxmlformats.org/officeDocument/2006/relationships/hyperlink" Target="http://www.secretariasenado.gov.co/senado/basedoc/ley_2213_2022.html" TargetMode="External"/><Relationship Id="rId245" Type="http://schemas.openxmlformats.org/officeDocument/2006/relationships/hyperlink" Target="http://www.secretariasenado.gov.co/senado/basedoc/ley_2277_2022.html" TargetMode="External"/><Relationship Id="rId246" Type="http://schemas.openxmlformats.org/officeDocument/2006/relationships/hyperlink" Target="http://www.secretariasenado.gov.co/senado/basedoc/ley_2381_2024.html" TargetMode="External"/><Relationship Id="rId247" Type="http://schemas.openxmlformats.org/officeDocument/2006/relationships/hyperlink" Target="http://www.secretariasenado.gov.co/senado/basedoc/ley_0025_1992.html" TargetMode="External"/><Relationship Id="rId248" Type="http://schemas.openxmlformats.org/officeDocument/2006/relationships/hyperlink" Target="http://www.secretariasenado.gov.co/senado/basedoc/ley_0294_1996.html" TargetMode="External"/><Relationship Id="rId249" Type="http://schemas.openxmlformats.org/officeDocument/2006/relationships/hyperlink" Target="http://www.secretariasenado.gov.co/senado/basedoc/ley_0361_1997.html" TargetMode="External"/><Relationship Id="rId250" Type="http://schemas.openxmlformats.org/officeDocument/2006/relationships/hyperlink" Target="http://www.secretariasenado.gov.co/senado/basedoc/ley_0393_1997.html" TargetMode="External"/><Relationship Id="rId251" Type="http://schemas.openxmlformats.org/officeDocument/2006/relationships/hyperlink" Target="http://www.secretariasenado.gov.co/senado/basedoc/ley_0005_1992.html" TargetMode="External"/><Relationship Id="rId252" Type="http://schemas.openxmlformats.org/officeDocument/2006/relationships/hyperlink" Target="http://www.secretariasenado.gov.co/senado/basedoc/ley_0610_2000.html" TargetMode="External"/><Relationship Id="rId253" Type="http://schemas.openxmlformats.org/officeDocument/2006/relationships/hyperlink" Target="http://www.secretariasenado.gov.co/senado/basedoc/ley_0065_1993.html" TargetMode="External"/><Relationship Id="rId254" Type="http://schemas.openxmlformats.org/officeDocument/2006/relationships/hyperlink" Target="http://www.secretariasenado.gov.co/senado/basedoc/ley_0675_2001.html" TargetMode="External"/><Relationship Id="rId255" Type="http://schemas.openxmlformats.org/officeDocument/2006/relationships/hyperlink" Target="http://www.secretariasenado.gov.co/senado/basedoc/ley_0789_2002.html" TargetMode="External"/><Relationship Id="rId256" Type="http://schemas.openxmlformats.org/officeDocument/2006/relationships/hyperlink" Target="http://www.secretariasenado.gov.co/senado/basedoc/ley_0791_2002.html" TargetMode="External"/><Relationship Id="rId257" Type="http://schemas.openxmlformats.org/officeDocument/2006/relationships/hyperlink" Target="http://www.secretariasenado.gov.co/senado/basedoc/ley_0909_2004.html" TargetMode="External"/><Relationship Id="rId258" Type="http://schemas.openxmlformats.org/officeDocument/2006/relationships/hyperlink" Target="https://www.suin-juriscol.gov.co/legislacion/?q=Resoluci&#243;n%20368%20de%202014" TargetMode="External"/><Relationship Id="rId259" Type="http://schemas.openxmlformats.org/officeDocument/2006/relationships/hyperlink" Target="https://www.corteconstitucional.gov.co/relatoria/?q=Sentencia%20C-029%20de%202009" TargetMode="External"/><Relationship Id="rId260" Type="http://schemas.openxmlformats.org/officeDocument/2006/relationships/hyperlink" Target="https://www.corteconstitucional.gov.co/relatoria/?q=Sentencia%20C-071%20de%202015" TargetMode="External"/><Relationship Id="rId261" Type="http://schemas.openxmlformats.org/officeDocument/2006/relationships/hyperlink" Target="https://www.corteconstitucional.gov.co/relatoria/?q=Sentencia%20C-075%20de%202007" TargetMode="External"/><Relationship Id="rId262" Type="http://schemas.openxmlformats.org/officeDocument/2006/relationships/hyperlink" Target="https://www.corteconstitucional.gov.co/relatoria/?q=Sentencia%20C-093%20de%202001" TargetMode="External"/><Relationship Id="rId263" Type="http://schemas.openxmlformats.org/officeDocument/2006/relationships/hyperlink" Target="https://www.corteconstitucional.gov.co/relatoria/?q=Sentencia%20C-1011%20de%202008" TargetMode="External"/><Relationship Id="rId264" Type="http://schemas.openxmlformats.org/officeDocument/2006/relationships/hyperlink" Target="https://www.corteconstitucional.gov.co/relatoria/?q=Sentencia%20C-1141%20de%202000" TargetMode="External"/><Relationship Id="rId265" Type="http://schemas.openxmlformats.org/officeDocument/2006/relationships/hyperlink" Target="https://www.corteconstitucional.gov.co/relatoria/?q=Sentencia%20C-141%20de%202010" TargetMode="External"/><Relationship Id="rId266" Type="http://schemas.openxmlformats.org/officeDocument/2006/relationships/hyperlink" Target="https://www.corteconstitucional.gov.co/relatoria/?q=Sentencia%20C-221%20de%201994" TargetMode="External"/><Relationship Id="rId267" Type="http://schemas.openxmlformats.org/officeDocument/2006/relationships/hyperlink" Target="https://www.corteconstitucional.gov.co/relatoria/?q=Sentencia%20C-264%20de%202026" TargetMode="External"/><Relationship Id="rId268" Type="http://schemas.openxmlformats.org/officeDocument/2006/relationships/hyperlink" Target="https://www.corteconstitucional.gov.co/relatoria/?q=Sentencia%20C-294%20de%202021" TargetMode="External"/><Relationship Id="rId269" Type="http://schemas.openxmlformats.org/officeDocument/2006/relationships/hyperlink" Target="https://www.corteconstitucional.gov.co/relatoria/?q=Sentencia%20C-420%20de%202020" TargetMode="External"/><Relationship Id="rId270" Type="http://schemas.openxmlformats.org/officeDocument/2006/relationships/hyperlink" Target="https://www.corteconstitucional.gov.co/relatoria/?q=Sentencia%20C-481%20de%202019" TargetMode="External"/><Relationship Id="rId271" Type="http://schemas.openxmlformats.org/officeDocument/2006/relationships/hyperlink" Target="https://www.corteconstitucional.gov.co/relatoria/?q=Sentencia%20C-543%20de%201992" TargetMode="External"/><Relationship Id="rId272" Type="http://schemas.openxmlformats.org/officeDocument/2006/relationships/hyperlink" Target="https://www.corteconstitucional.gov.co/relatoria/?q=Sentencia%20C-551%20de%202003" TargetMode="External"/><Relationship Id="rId273" Type="http://schemas.openxmlformats.org/officeDocument/2006/relationships/hyperlink" Target="https://www.corteconstitucional.gov.co/relatoria/?q=Sentencia%20C-577%20de%202011" TargetMode="External"/><Relationship Id="rId274" Type="http://schemas.openxmlformats.org/officeDocument/2006/relationships/hyperlink" Target="https://www.corteconstitucional.gov.co/relatoria/?q=Sentencia%20C-590%20de%202005" TargetMode="External"/><Relationship Id="rId275" Type="http://schemas.openxmlformats.org/officeDocument/2006/relationships/hyperlink" Target="https://www.corteconstitucional.gov.co/relatoria/?q=Sentencia%20C-591%20de%202005" TargetMode="External"/><Relationship Id="rId276" Type="http://schemas.openxmlformats.org/officeDocument/2006/relationships/hyperlink" Target="https://www.corteconstitucional.gov.co/relatoria/?q=Sentencia%20C-614%20de%202009" TargetMode="External"/><Relationship Id="rId277" Type="http://schemas.openxmlformats.org/officeDocument/2006/relationships/hyperlink" Target="https://www.corteconstitucional.gov.co/relatoria/?q=Sentencia%20C-634%20de%202011" TargetMode="External"/><Relationship Id="rId278" Type="http://schemas.openxmlformats.org/officeDocument/2006/relationships/hyperlink" Target="https://www.corteconstitucional.gov.co/relatoria/?q=Sentencia%20C-776%20de%202003" TargetMode="External"/><Relationship Id="rId279" Type="http://schemas.openxmlformats.org/officeDocument/2006/relationships/hyperlink" Target="https://www.corteconstitucional.gov.co/relatoria/?q=Sentencia%20C-816%20de%202011" TargetMode="External"/><Relationship Id="rId280" Type="http://schemas.openxmlformats.org/officeDocument/2006/relationships/hyperlink" Target="https://www.corteconstitucional.gov.co/relatoria/?q=Sentencia%20C-818%20de%202011" TargetMode="External"/><Relationship Id="rId281" Type="http://schemas.openxmlformats.org/officeDocument/2006/relationships/hyperlink" Target="https://www.corteconstitucional.gov.co/relatoria/?q=Sentencia%20C-836%20de%202001" TargetMode="External"/><Relationship Id="rId282" Type="http://schemas.openxmlformats.org/officeDocument/2006/relationships/hyperlink" Target="https://www.corteconstitucional.gov.co/relatoria/?q=Sentencia%20C-951%20de%202014" TargetMode="External"/><Relationship Id="rId283" Type="http://schemas.openxmlformats.org/officeDocument/2006/relationships/hyperlink" Target="https://www.corteconstitucional.gov.co/relatoria/?q=Sentencia%20SU-047%20de%201999" TargetMode="External"/><Relationship Id="rId284" Type="http://schemas.openxmlformats.org/officeDocument/2006/relationships/hyperlink" Target="https://www.corteconstitucional.gov.co/relatoria/?q=Sentencia%20SU-049%20de%202017" TargetMode="External"/><Relationship Id="rId285" Type="http://schemas.openxmlformats.org/officeDocument/2006/relationships/hyperlink" Target="https://www.corteconstitucional.gov.co/relatoria/?q=Sentencia%20SU-075%20de%202018" TargetMode="External"/><Relationship Id="rId286" Type="http://schemas.openxmlformats.org/officeDocument/2006/relationships/hyperlink" Target="https://www.corteconstitucional.gov.co/relatoria/?q=Sentencia%20T-025%20de%202004" TargetMode="External"/><Relationship Id="rId287" Type="http://schemas.openxmlformats.org/officeDocument/2006/relationships/hyperlink" Target="https://www.corteconstitucional.gov.co/relatoria/?q=Sentencia%20T-406%20de%201992" TargetMode="External"/><Relationship Id="rId288" Type="http://schemas.openxmlformats.org/officeDocument/2006/relationships/hyperlink" Target="https://www.corteconstitucional.gov.co/relatoria/?q=Sentencia%20T-881%20de%202002" TargetMode="External"/><Relationship Id="rId289" Type="http://schemas.openxmlformats.org/officeDocument/2006/relationships/hyperlink" Target="http://www.secretariasenado.gov.co/senado/basedoc/?q=Decision%20andina%20345" TargetMode="External"/><Relationship Id="rId290" Type="http://schemas.openxmlformats.org/officeDocument/2006/relationships/hyperlink" Target="https://www.sic.gov.co/" TargetMode="External"/><Relationship Id="rId291" Type="http://schemas.openxmlformats.org/officeDocument/2006/relationships/hyperlink" Target="https://www.suin-juriscol.gov.co/legislacion/?q=Decreto%201295%20de%201994" TargetMode="External"/><Relationship Id="rId292" Type="http://schemas.openxmlformats.org/officeDocument/2006/relationships/hyperlink" Target="https://www.suin-juriscol.gov.co/legislacion/?q=Decreto%2019%20de%202012" TargetMode="External"/><Relationship Id="rId293" Type="http://schemas.openxmlformats.org/officeDocument/2006/relationships/hyperlink" Target="https://www.suin-juriscol.gov.co/legislacion/?q=Decreto%202555%20de%202010" TargetMode="External"/><Relationship Id="rId294" Type="http://schemas.openxmlformats.org/officeDocument/2006/relationships/hyperlink" Target="https://www.suin-juriscol.gov.co/legislacion/?q=Decreto%20306%20de%201992" TargetMode="External"/><Relationship Id="rId295" Type="http://schemas.openxmlformats.org/officeDocument/2006/relationships/hyperlink" Target="https://www.suin-juriscol.gov.co/legislacion/?q=Decreto%20806%20de%202020" TargetMode="External"/><Relationship Id="rId296" Type="http://schemas.openxmlformats.org/officeDocument/2006/relationships/hyperlink" Target="http://www.secretariasenado.gov.co/senado/basedoc/ley_1121_2006.html" TargetMode="External"/><Relationship Id="rId297" Type="http://schemas.openxmlformats.org/officeDocument/2006/relationships/hyperlink" Target="http://www.secretariasenado.gov.co/senado/basedoc/ley_1221_2008.html" TargetMode="External"/><Relationship Id="rId298" Type="http://schemas.openxmlformats.org/officeDocument/2006/relationships/hyperlink" Target="http://www.secretariasenado.gov.co/senado/basedoc/ley_1231_2008.html" TargetMode="External"/><Relationship Id="rId299" Type="http://schemas.openxmlformats.org/officeDocument/2006/relationships/hyperlink" Target="http://www.secretariasenado.gov.co/senado/basedoc/ley_1273_2009.html" TargetMode="External"/><Relationship Id="rId300" Type="http://schemas.openxmlformats.org/officeDocument/2006/relationships/hyperlink" Target="http://www.secretariasenado.gov.co/senado/basedoc/ley_1285_2009.html" TargetMode="External"/><Relationship Id="rId301" Type="http://schemas.openxmlformats.org/officeDocument/2006/relationships/hyperlink" Target="http://www.secretariasenado.gov.co/senado/basedoc/ley_1429_2010.html" TargetMode="External"/><Relationship Id="rId302" Type="http://schemas.openxmlformats.org/officeDocument/2006/relationships/hyperlink" Target="http://www.secretariasenado.gov.co/senado/basedoc/ley_1551_2012.html" TargetMode="External"/><Relationship Id="rId303" Type="http://schemas.openxmlformats.org/officeDocument/2006/relationships/hyperlink" Target="http://www.secretariasenado.gov.co/senado/basedoc/ley_1561_2012.html" TargetMode="External"/><Relationship Id="rId304" Type="http://schemas.openxmlformats.org/officeDocument/2006/relationships/hyperlink" Target="http://www.secretariasenado.gov.co/senado/basedoc/ley_1579_2012.html" TargetMode="External"/><Relationship Id="rId305" Type="http://schemas.openxmlformats.org/officeDocument/2006/relationships/hyperlink" Target="http://www.secretariasenado.gov.co/senado/basedoc/ley_1739_2014.html" TargetMode="External"/><Relationship Id="rId306" Type="http://schemas.openxmlformats.org/officeDocument/2006/relationships/hyperlink" Target="http://www.secretariasenado.gov.co/senado/basedoc/ley_1878_2018.html" TargetMode="External"/><Relationship Id="rId307" Type="http://schemas.openxmlformats.org/officeDocument/2006/relationships/hyperlink" Target="http://www.secretariasenado.gov.co/senado/basedoc/ley_1915_2018.html" TargetMode="External"/><Relationship Id="rId308" Type="http://schemas.openxmlformats.org/officeDocument/2006/relationships/hyperlink" Target="http://www.secretariasenado.gov.co/senado/basedoc/ley_1943_2018.html" TargetMode="External"/><Relationship Id="rId309" Type="http://schemas.openxmlformats.org/officeDocument/2006/relationships/hyperlink" Target="http://www.secretariasenado.gov.co/senado/basedoc/ley_2069_2020.html" TargetMode="External"/><Relationship Id="rId310" Type="http://schemas.openxmlformats.org/officeDocument/2006/relationships/hyperlink" Target="http://www.secretariasenado.gov.co/senado/basedoc/ley_2088_2021.html" TargetMode="External"/><Relationship Id="rId311" Type="http://schemas.openxmlformats.org/officeDocument/2006/relationships/hyperlink" Target="http://www.secretariasenado.gov.co/senado/basedoc/ley_2097_2021.html" TargetMode="External"/><Relationship Id="rId312" Type="http://schemas.openxmlformats.org/officeDocument/2006/relationships/hyperlink" Target="http://www.secretariasenado.gov.co/senado/basedoc/ley_2098_2021.html" TargetMode="External"/><Relationship Id="rId313" Type="http://schemas.openxmlformats.org/officeDocument/2006/relationships/hyperlink" Target="http://www.secretariasenado.gov.co/senado/basedoc/ley_2121_2021.html" TargetMode="External"/><Relationship Id="rId314" Type="http://schemas.openxmlformats.org/officeDocument/2006/relationships/hyperlink" Target="http://www.secretariasenado.gov.co/senado/basedoc/ley_2126_2021.html" TargetMode="External"/><Relationship Id="rId315" Type="http://schemas.openxmlformats.org/officeDocument/2006/relationships/hyperlink" Target="http://www.secretariasenado.gov.co/senado/basedoc/ley_2155_2021.html" TargetMode="External"/><Relationship Id="rId316" Type="http://schemas.openxmlformats.org/officeDocument/2006/relationships/hyperlink" Target="http://www.secretariasenado.gov.co/senado/basedoc/ley_2195_2022.html" TargetMode="External"/><Relationship Id="rId317" Type="http://schemas.openxmlformats.org/officeDocument/2006/relationships/hyperlink" Target="http://www.secretariasenado.gov.co/senado/basedoc/ley_2197_2022.html" TargetMode="External"/><Relationship Id="rId318" Type="http://schemas.openxmlformats.org/officeDocument/2006/relationships/hyperlink" Target="http://www.secretariasenado.gov.co/senado/basedoc/ley_0258_1996.html" TargetMode="External"/><Relationship Id="rId319" Type="http://schemas.openxmlformats.org/officeDocument/2006/relationships/hyperlink" Target="http://www.secretariasenado.gov.co/senado/basedoc/ley_0042_1993.html" TargetMode="External"/><Relationship Id="rId320" Type="http://schemas.openxmlformats.org/officeDocument/2006/relationships/hyperlink" Target="http://www.secretariasenado.gov.co/senado/basedoc/ley_0044_1993.html" TargetMode="External"/><Relationship Id="rId321" Type="http://schemas.openxmlformats.org/officeDocument/2006/relationships/hyperlink" Target="http://www.secretariasenado.gov.co/senado/basedoc/ley_0776_2002.html" TargetMode="External"/><Relationship Id="rId32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n">
        <v>134</v>
      </c>
      <c r="C5" s="4" t="n">
        <f aca="false">COUNTIFS(Constitucional!$F:$F,"en seed*")</f>
        <v>43</v>
      </c>
      <c r="D5" s="4" t="n">
        <f aca="false">COUNTIFS(Constitucional!$F:$F,"falta*",Constitucional!$G:$G,"alta")</f>
        <v>6</v>
      </c>
      <c r="E5" s="4" t="n">
        <f aca="false">COUNTIFS(Constitucional!$F:$F,"falta*",Constitucional!$G:$G,"media")</f>
        <v>16</v>
      </c>
      <c r="F5" s="4" t="n">
        <f aca="false">COUNTIFS(Constitucional!$F:$F,"falta*",Constitucional!$G:$G,"baja")</f>
        <v>1</v>
      </c>
      <c r="G5" s="5" t="n">
        <v>0.55</v>
      </c>
      <c r="H5" s="4" t="n">
        <v>4</v>
      </c>
    </row>
    <row r="6" customFormat="false" ht="15" hidden="false" customHeight="false" outlineLevel="0" collapsed="false">
      <c r="A6" s="4" t="s">
        <v>11</v>
      </c>
      <c r="B6" s="4" t="n">
        <v>124</v>
      </c>
      <c r="C6" s="4" t="n">
        <f aca="false">COUNTIFS(Administrativo!$F:$F,"en seed*")</f>
        <v>18</v>
      </c>
      <c r="D6" s="4" t="n">
        <f aca="false">COUNTIFS(Administrativo!$F:$F,"falta*",Administrativo!$G:$G,"alta")</f>
        <v>4</v>
      </c>
      <c r="E6" s="4" t="n">
        <f aca="false">COUNTIFS(Administrativo!$F:$F,"falta*",Administrativo!$G:$G,"media")</f>
        <v>14</v>
      </c>
      <c r="F6" s="4" t="n">
        <f aca="false">COUNTIFS(Administrativo!$F:$F,"falta*",Administrativo!$G:$G,"baja")</f>
        <v>4</v>
      </c>
      <c r="G6" s="5" t="n">
        <v>0.31</v>
      </c>
      <c r="H6" s="4" t="n">
        <v>4</v>
      </c>
    </row>
    <row r="7" customFormat="false" ht="15" hidden="false" customHeight="false" outlineLevel="0" collapsed="false">
      <c r="A7" s="4" t="s">
        <v>12</v>
      </c>
      <c r="B7" s="4" t="n">
        <v>123</v>
      </c>
      <c r="C7" s="4" t="n">
        <f aca="false">COUNTIFS(Penal!$F:$F,"en seed*")</f>
        <v>18</v>
      </c>
      <c r="D7" s="4" t="n">
        <f aca="false">COUNTIFS(Penal!$F:$F,"falta*",Penal!$G:$G,"alta")</f>
        <v>2</v>
      </c>
      <c r="E7" s="4" t="n">
        <f aca="false">COUNTIFS(Penal!$F:$F,"falta*",Penal!$G:$G,"media")</f>
        <v>10</v>
      </c>
      <c r="F7" s="4" t="n">
        <f aca="false">COUNTIFS(Penal!$F:$F,"falta*",Penal!$G:$G,"baja")</f>
        <v>4</v>
      </c>
      <c r="G7" s="5" t="n">
        <v>0.33</v>
      </c>
      <c r="H7" s="4" t="n">
        <v>3</v>
      </c>
    </row>
    <row r="8" customFormat="false" ht="15" hidden="false" customHeight="false" outlineLevel="0" collapsed="false">
      <c r="A8" s="4" t="s">
        <v>13</v>
      </c>
      <c r="B8" s="4" t="n">
        <v>111</v>
      </c>
      <c r="C8" s="4" t="n">
        <f aca="false">COUNTIFS(Procesal!$F:$F,"en seed*")</f>
        <v>10</v>
      </c>
      <c r="D8" s="4" t="n">
        <f aca="false">COUNTIFS(Procesal!$F:$F,"falta*",Procesal!$G:$G,"alta")</f>
        <v>4</v>
      </c>
      <c r="E8" s="4" t="n">
        <f aca="false">COUNTIFS(Procesal!$F:$F,"falta*",Procesal!$G:$G,"media")</f>
        <v>5</v>
      </c>
      <c r="F8" s="4" t="n">
        <f aca="false">COUNTIFS(Procesal!$F:$F,"falta*",Procesal!$G:$G,"baja")</f>
        <v>2</v>
      </c>
      <c r="G8" s="5" t="n">
        <v>0.32</v>
      </c>
      <c r="H8" s="4" t="n">
        <v>1</v>
      </c>
    </row>
    <row r="9" customFormat="false" ht="15" hidden="false" customHeight="false" outlineLevel="0" collapsed="false">
      <c r="A9" s="4" t="s">
        <v>14</v>
      </c>
      <c r="B9" s="4" t="n">
        <v>104</v>
      </c>
      <c r="C9" s="4" t="n">
        <f aca="false">COUNTIFS(Comercial!$F:$F,"en seed*")</f>
        <v>20</v>
      </c>
      <c r="D9" s="4" t="n">
        <f aca="false">COUNTIFS(Comercial!$F:$F,"falta*",Comercial!$G:$G,"alta")</f>
        <v>3</v>
      </c>
      <c r="E9" s="4" t="n">
        <f aca="false">COUNTIFS(Comercial!$F:$F,"falta*",Comercial!$G:$G,"media")</f>
        <v>4</v>
      </c>
      <c r="F9" s="4" t="n">
        <f aca="false">COUNTIFS(Comercial!$F:$F,"falta*",Comercial!$G:$G,"baja")</f>
        <v>4</v>
      </c>
      <c r="G9" s="5" t="n">
        <v>0.51</v>
      </c>
      <c r="H9" s="4" t="n">
        <v>4</v>
      </c>
    </row>
    <row r="10" customFormat="false" ht="15" hidden="false" customHeight="false" outlineLevel="0" collapsed="false">
      <c r="A10" s="4" t="s">
        <v>15</v>
      </c>
      <c r="B10" s="4" t="n">
        <v>102</v>
      </c>
      <c r="C10" s="4" t="n">
        <f aca="false">COUNTIFS(Civil!$F:$F,"en seed*")</f>
        <v>24</v>
      </c>
      <c r="D10" s="4" t="n">
        <f aca="false">COUNTIFS(Civil!$F:$F,"falta*",Civil!$G:$G,"alta")</f>
        <v>2</v>
      </c>
      <c r="E10" s="4" t="n">
        <f aca="false">COUNTIFS(Civil!$F:$F,"falta*",Civil!$G:$G,"media")</f>
        <v>4</v>
      </c>
      <c r="F10" s="4" t="n">
        <f aca="false">COUNTIFS(Civil!$F:$F,"falta*",Civil!$G:$G,"baja")</f>
        <v>3</v>
      </c>
      <c r="G10" s="5" t="n">
        <v>0.55</v>
      </c>
      <c r="H10" s="4" t="n">
        <v>3</v>
      </c>
    </row>
    <row r="11" customFormat="false" ht="15" hidden="false" customHeight="false" outlineLevel="0" collapsed="false">
      <c r="A11" s="4" t="s">
        <v>16</v>
      </c>
      <c r="B11" s="4" t="n">
        <v>93</v>
      </c>
      <c r="C11" s="4" t="n">
        <f aca="false">COUNTIFS(Familia!$F:$F,"en seed*")</f>
        <v>29</v>
      </c>
      <c r="D11" s="4" t="n">
        <f aca="false">COUNTIFS(Familia!$F:$F,"falta*",Familia!$G:$G,"alta")</f>
        <v>1</v>
      </c>
      <c r="E11" s="4" t="n">
        <f aca="false">COUNTIFS(Familia!$F:$F,"falta*",Familia!$G:$G,"media")</f>
        <v>9</v>
      </c>
      <c r="F11" s="4" t="n">
        <f aca="false">COUNTIFS(Familia!$F:$F,"falta*",Familia!$G:$G,"baja")</f>
        <v>4</v>
      </c>
      <c r="G11" s="5" t="n">
        <v>0.62</v>
      </c>
      <c r="H11" s="4" t="n">
        <v>4</v>
      </c>
    </row>
    <row r="12" customFormat="false" ht="15" hidden="false" customHeight="false" outlineLevel="0" collapsed="false">
      <c r="A12" s="4" t="s">
        <v>17</v>
      </c>
      <c r="B12" s="4" t="n">
        <v>92</v>
      </c>
      <c r="C12" s="4" t="n">
        <f aca="false">COUNTIFS(Tributario!$F:$F,"en seed*")</f>
        <v>19</v>
      </c>
      <c r="D12" s="4" t="n">
        <f aca="false">COUNTIFS(Tributario!$F:$F,"falta*",Tributario!$G:$G,"alta")</f>
        <v>2</v>
      </c>
      <c r="E12" s="4" t="n">
        <f aca="false">COUNTIFS(Tributario!$F:$F,"falta*",Tributario!$G:$G,"media")</f>
        <v>7</v>
      </c>
      <c r="F12" s="4" t="n">
        <f aca="false">COUNTIFS(Tributario!$F:$F,"falta*",Tributario!$G:$G,"baja")</f>
        <v>3</v>
      </c>
      <c r="G12" s="5" t="n">
        <v>0.55</v>
      </c>
      <c r="H12" s="4" t="n">
        <v>2</v>
      </c>
    </row>
    <row r="13" customFormat="false" ht="15" hidden="false" customHeight="false" outlineLevel="0" collapsed="false">
      <c r="A13" s="4" t="s">
        <v>18</v>
      </c>
      <c r="B13" s="4" t="n">
        <v>87</v>
      </c>
      <c r="C13" s="4" t="n">
        <f aca="false">COUNTIFS(Laboral!$F:$F,"en seed*")</f>
        <v>30</v>
      </c>
      <c r="D13" s="4" t="n">
        <f aca="false">COUNTIFS(Laboral!$F:$F,"falta*",Laboral!$G:$G,"alta")</f>
        <v>1</v>
      </c>
      <c r="E13" s="4" t="n">
        <f aca="false">COUNTIFS(Laboral!$F:$F,"falta*",Laboral!$G:$G,"media")</f>
        <v>12</v>
      </c>
      <c r="F13" s="4" t="n">
        <f aca="false">COUNTIFS(Laboral!$F:$F,"falta*",Laboral!$G:$G,"baja")</f>
        <v>5</v>
      </c>
      <c r="G13" s="5" t="n">
        <v>1.06</v>
      </c>
      <c r="H13" s="4" t="n">
        <v>0</v>
      </c>
    </row>
    <row r="14" customFormat="false" ht="15" hidden="false" customHeight="false" outlineLevel="0" collapsed="false">
      <c r="A14" s="4" t="s">
        <v>19</v>
      </c>
      <c r="B14" s="4" t="n">
        <v>72</v>
      </c>
      <c r="C14" s="4" t="n">
        <f aca="false">COUNTIFS(Mercados!$F:$F,"en seed*")</f>
        <v>15</v>
      </c>
      <c r="D14" s="4" t="n">
        <f aca="false">COUNTIFS(Mercados!$F:$F,"falta*",Mercados!$G:$G,"alta")</f>
        <v>3</v>
      </c>
      <c r="E14" s="4" t="n">
        <f aca="false">COUNTIFS(Mercados!$F:$F,"falta*",Mercados!$G:$G,"media")</f>
        <v>5</v>
      </c>
      <c r="F14" s="4" t="n">
        <f aca="false">COUNTIFS(Mercados!$F:$F,"falta*",Mercados!$G:$G,"baja")</f>
        <v>4</v>
      </c>
      <c r="G14" s="5" t="n">
        <v>0.85</v>
      </c>
      <c r="H14" s="4" t="n">
        <v>1</v>
      </c>
    </row>
    <row r="15" customFormat="false" ht="15" hidden="false" customHeight="false" outlineLevel="0" collapsed="false">
      <c r="A15" s="6" t="s">
        <v>20</v>
      </c>
      <c r="B15" s="6" t="n">
        <f aca="false">SUM(B5:B14)</f>
        <v>1042</v>
      </c>
      <c r="C15" s="6" t="n">
        <f aca="false">SUM(C5:C14)</f>
        <v>226</v>
      </c>
      <c r="D15" s="6" t="n">
        <f aca="false">SUM(D5:D14)</f>
        <v>28</v>
      </c>
      <c r="E15" s="6" t="n">
        <f aca="false">SUM(E5:E14)</f>
        <v>86</v>
      </c>
      <c r="F15" s="6" t="n">
        <f aca="false">SUM(F5:F14)</f>
        <v>34</v>
      </c>
      <c r="G15" s="6"/>
      <c r="H15" s="6"/>
    </row>
    <row r="16" customFormat="false" ht="15" hidden="false" customHeight="false" outlineLevel="0" collapsed="false">
      <c r="A16" s="2" t="s">
        <v>21</v>
      </c>
    </row>
    <row r="18" customFormat="false" ht="15" hidden="false" customHeight="false" outlineLevel="0" collapsed="false">
      <c r="A18" s="7" t="s">
        <v>22</v>
      </c>
    </row>
    <row r="19" customFormat="false" ht="15" hidden="false" customHeight="false" outlineLevel="0" collapsed="false">
      <c r="A19" s="8" t="s">
        <v>23</v>
      </c>
      <c r="B19" s="9" t="n">
        <f aca="false">COUNTIFS('Inventario completo'!$F:$F,"en seed*")</f>
        <v>186</v>
      </c>
    </row>
    <row r="20" customFormat="false" ht="15" hidden="false" customHeight="false" outlineLevel="0" collapsed="false">
      <c r="A20" s="8" t="s">
        <v>24</v>
      </c>
      <c r="B20" s="9" t="n">
        <f aca="false">COUNTIFS('Inventario completo'!$F:$F,"en seed · revisar")</f>
        <v>8</v>
      </c>
    </row>
    <row r="21" customFormat="false" ht="15" hidden="false" customHeight="false" outlineLevel="0" collapsed="false">
      <c r="A21" s="8" t="s">
        <v>25</v>
      </c>
      <c r="B21" s="9" t="n">
        <f aca="false">COUNTIFS('Inventario completo'!$F:$F,"falta*",'Inventario completo'!$G:$G,"alta")</f>
        <v>23</v>
      </c>
    </row>
    <row r="22" customFormat="false" ht="15" hidden="false" customHeight="false" outlineLevel="0" collapsed="false">
      <c r="A22" s="8" t="s">
        <v>26</v>
      </c>
      <c r="B22" s="9" t="n">
        <f aca="false">COUNTIFS('Inventario completo'!$F:$F,"falta*",'Inventario completo'!$G:$G,"media")</f>
        <v>79</v>
      </c>
    </row>
    <row r="23" customFormat="false" ht="15" hidden="false" customHeight="false" outlineLevel="0" collapsed="false">
      <c r="A23" s="8" t="s">
        <v>27</v>
      </c>
      <c r="B23" s="9" t="n">
        <f aca="false">COUNTIFS('Inventario completo'!$F:$F,"falta*",'Inventario completo'!$G:$G,"baja")</f>
        <v>33</v>
      </c>
    </row>
    <row r="24" customFormat="false" ht="15" hidden="false" customHeight="false" outlineLevel="0" collapsed="false">
      <c r="A24" s="8" t="s">
        <v>28</v>
      </c>
      <c r="B24" s="9" t="n">
        <f aca="false">SUM(B21:B23)</f>
        <v>135</v>
      </c>
    </row>
    <row r="25" customFormat="false" ht="15" hidden="false" customHeight="false" outlineLevel="0" collapsed="false">
      <c r="A25" s="8" t="s">
        <v>29</v>
      </c>
      <c r="B25" s="9" t="n">
        <f aca="false">COUNTIFS('Inventario completo'!$F:$F,"falta · por verificar")</f>
        <v>14</v>
      </c>
    </row>
    <row r="28" customFormat="false" ht="15" hidden="false" customHeight="false" outlineLevel="0" collapsed="false">
      <c r="A28" s="7" t="s">
        <v>30</v>
      </c>
    </row>
    <row r="29" customFormat="false" ht="15" hidden="false" customHeight="false" outlineLevel="0" collapsed="false">
      <c r="A29" s="8" t="s">
        <v>31</v>
      </c>
    </row>
    <row r="30" customFormat="false" ht="15" hidden="false" customHeight="false" outlineLevel="0" collapsed="false">
      <c r="A30" s="8" t="s">
        <v>32</v>
      </c>
    </row>
    <row r="31" customFormat="false" ht="15" hidden="false" customHeight="false" outlineLevel="0" collapsed="false">
      <c r="A31" s="8" t="s">
        <v>33</v>
      </c>
    </row>
    <row r="32" customFormat="false" ht="15" hidden="false" customHeight="false" outlineLevel="0" collapsed="false">
      <c r="A32" s="8" t="s">
        <v>34</v>
      </c>
    </row>
    <row r="34" customFormat="false" ht="15" hidden="false" customHeight="false" outlineLevel="0" collapsed="false">
      <c r="A34" s="7" t="s">
        <v>35</v>
      </c>
    </row>
    <row r="35" customFormat="false" ht="15" hidden="false" customHeight="false" outlineLevel="0" collapsed="false">
      <c r="A35" s="8" t="s">
        <v>36</v>
      </c>
    </row>
    <row r="36" customFormat="false" ht="15" hidden="false" customHeight="false" outlineLevel="0" collapsed="false">
      <c r="A36" s="8" t="s">
        <v>37</v>
      </c>
    </row>
    <row r="37" customFormat="false" ht="15" hidden="false" customHeight="false" outlineLevel="0" collapsed="false">
      <c r="A37" s="8" t="s">
        <v>38</v>
      </c>
    </row>
    <row r="38" customFormat="false" ht="15" hidden="false" customHeight="false" outlineLevel="0" collapsed="false">
      <c r="A38" s="8" t="s">
        <v>39</v>
      </c>
    </row>
    <row r="39" customFormat="false" ht="15" hidden="false" customHeight="false" outlineLevel="0" collapsed="false">
      <c r="A39" s="8" t="s">
        <v>40</v>
      </c>
    </row>
    <row r="40" customFormat="false" ht="15" hidden="false" customHeight="false" outlineLevel="0" collapsed="false">
      <c r="A40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52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15" hidden="false" customHeight="false" outlineLevel="0" collapsed="false">
      <c r="A7" s="13" t="s">
        <v>61</v>
      </c>
      <c r="B7" s="14" t="s">
        <v>62</v>
      </c>
      <c r="C7" s="13" t="s">
        <v>63</v>
      </c>
      <c r="D7" s="13" t="s">
        <v>56</v>
      </c>
      <c r="E7" s="15" t="s">
        <v>64</v>
      </c>
      <c r="F7" s="13" t="s">
        <v>58</v>
      </c>
      <c r="G7" s="13" t="s">
        <v>59</v>
      </c>
      <c r="H7" s="14" t="s">
        <v>65</v>
      </c>
    </row>
    <row r="8" customFormat="false" ht="23.85" hidden="false" customHeight="false" outlineLevel="0" collapsed="false">
      <c r="A8" s="13" t="s">
        <v>66</v>
      </c>
      <c r="B8" s="14" t="s">
        <v>67</v>
      </c>
      <c r="C8" s="13" t="s">
        <v>68</v>
      </c>
      <c r="D8" s="13" t="s">
        <v>69</v>
      </c>
      <c r="E8" s="15" t="s">
        <v>70</v>
      </c>
      <c r="F8" s="13" t="s">
        <v>58</v>
      </c>
      <c r="G8" s="13" t="s">
        <v>59</v>
      </c>
      <c r="H8" s="14" t="s">
        <v>71</v>
      </c>
    </row>
    <row r="9" customFormat="false" ht="15" hidden="false" customHeight="false" outlineLevel="0" collapsed="false">
      <c r="A9" s="13" t="s">
        <v>72</v>
      </c>
      <c r="B9" s="14" t="s">
        <v>73</v>
      </c>
      <c r="C9" s="13" t="s">
        <v>74</v>
      </c>
      <c r="D9" s="13" t="s">
        <v>75</v>
      </c>
      <c r="E9" s="15" t="s">
        <v>76</v>
      </c>
      <c r="F9" s="13" t="s">
        <v>58</v>
      </c>
      <c r="G9" s="13" t="s">
        <v>59</v>
      </c>
      <c r="H9" s="14" t="s">
        <v>77</v>
      </c>
    </row>
    <row r="10" customFormat="false" ht="15" hidden="false" customHeight="false" outlineLevel="0" collapsed="false">
      <c r="A10" s="13" t="s">
        <v>78</v>
      </c>
      <c r="B10" s="14" t="s">
        <v>79</v>
      </c>
      <c r="C10" s="13" t="s">
        <v>80</v>
      </c>
      <c r="D10" s="13" t="s">
        <v>75</v>
      </c>
      <c r="E10" s="15" t="s">
        <v>81</v>
      </c>
      <c r="F10" s="13" t="s">
        <v>58</v>
      </c>
      <c r="G10" s="13" t="s">
        <v>59</v>
      </c>
      <c r="H10" s="14" t="s">
        <v>82</v>
      </c>
    </row>
    <row r="11" customFormat="false" ht="15" hidden="false" customHeight="false" outlineLevel="0" collapsed="false">
      <c r="A11" s="13" t="s">
        <v>83</v>
      </c>
      <c r="B11" s="14" t="s">
        <v>84</v>
      </c>
      <c r="C11" s="13" t="s">
        <v>68</v>
      </c>
      <c r="D11" s="13" t="s">
        <v>69</v>
      </c>
      <c r="E11" s="15" t="s">
        <v>85</v>
      </c>
      <c r="F11" s="13" t="s">
        <v>58</v>
      </c>
      <c r="G11" s="13" t="s">
        <v>59</v>
      </c>
      <c r="H11" s="14" t="s">
        <v>86</v>
      </c>
    </row>
    <row r="12" customFormat="false" ht="15" hidden="false" customHeight="false" outlineLevel="0" collapsed="false">
      <c r="A12" s="13" t="s">
        <v>87</v>
      </c>
      <c r="B12" s="14" t="s">
        <v>88</v>
      </c>
      <c r="C12" s="13" t="s">
        <v>68</v>
      </c>
      <c r="D12" s="13" t="s">
        <v>69</v>
      </c>
      <c r="E12" s="15" t="s">
        <v>89</v>
      </c>
      <c r="F12" s="13" t="s">
        <v>58</v>
      </c>
      <c r="G12" s="13" t="s">
        <v>90</v>
      </c>
      <c r="H12" s="14" t="s">
        <v>91</v>
      </c>
    </row>
    <row r="13" customFormat="false" ht="15" hidden="false" customHeight="false" outlineLevel="0" collapsed="false">
      <c r="A13" s="13" t="s">
        <v>92</v>
      </c>
      <c r="B13" s="14" t="s">
        <v>93</v>
      </c>
      <c r="C13" s="13" t="s">
        <v>68</v>
      </c>
      <c r="D13" s="13" t="s">
        <v>69</v>
      </c>
      <c r="E13" s="15" t="s">
        <v>94</v>
      </c>
      <c r="F13" s="13" t="s">
        <v>58</v>
      </c>
      <c r="G13" s="13" t="s">
        <v>90</v>
      </c>
      <c r="H13" s="14" t="s">
        <v>95</v>
      </c>
    </row>
    <row r="14" customFormat="false" ht="15" hidden="false" customHeight="false" outlineLevel="0" collapsed="false">
      <c r="A14" s="13" t="s">
        <v>96</v>
      </c>
      <c r="B14" s="14" t="s">
        <v>97</v>
      </c>
      <c r="C14" s="13" t="s">
        <v>68</v>
      </c>
      <c r="D14" s="13" t="s">
        <v>69</v>
      </c>
      <c r="E14" s="15" t="s">
        <v>98</v>
      </c>
      <c r="F14" s="13" t="s">
        <v>58</v>
      </c>
      <c r="G14" s="13" t="s">
        <v>90</v>
      </c>
      <c r="H14" s="14" t="s">
        <v>95</v>
      </c>
    </row>
    <row r="15" customFormat="false" ht="23.85" hidden="false" customHeight="false" outlineLevel="0" collapsed="false">
      <c r="A15" s="13" t="s">
        <v>99</v>
      </c>
      <c r="B15" s="14" t="s">
        <v>100</v>
      </c>
      <c r="C15" s="13" t="s">
        <v>68</v>
      </c>
      <c r="D15" s="13" t="s">
        <v>69</v>
      </c>
      <c r="E15" s="15" t="s">
        <v>101</v>
      </c>
      <c r="F15" s="13" t="s">
        <v>58</v>
      </c>
      <c r="G15" s="13" t="s">
        <v>90</v>
      </c>
      <c r="H15" s="14" t="s">
        <v>95</v>
      </c>
    </row>
    <row r="16" customFormat="false" ht="15" hidden="false" customHeight="false" outlineLevel="0" collapsed="false">
      <c r="A16" s="13" t="s">
        <v>102</v>
      </c>
      <c r="B16" s="14" t="s">
        <v>103</v>
      </c>
      <c r="C16" s="13" t="s">
        <v>74</v>
      </c>
      <c r="D16" s="13" t="s">
        <v>75</v>
      </c>
      <c r="E16" s="15" t="s">
        <v>104</v>
      </c>
      <c r="F16" s="13" t="s">
        <v>58</v>
      </c>
      <c r="G16" s="13" t="s">
        <v>90</v>
      </c>
      <c r="H16" s="14" t="s">
        <v>105</v>
      </c>
    </row>
    <row r="17" customFormat="false" ht="15" hidden="false" customHeight="false" outlineLevel="0" collapsed="false">
      <c r="A17" s="13" t="s">
        <v>106</v>
      </c>
      <c r="B17" s="14" t="s">
        <v>107</v>
      </c>
      <c r="C17" s="13" t="s">
        <v>74</v>
      </c>
      <c r="D17" s="13" t="s">
        <v>75</v>
      </c>
      <c r="E17" s="15" t="s">
        <v>108</v>
      </c>
      <c r="F17" s="13" t="s">
        <v>58</v>
      </c>
      <c r="G17" s="13" t="s">
        <v>90</v>
      </c>
      <c r="H17" s="14" t="s">
        <v>105</v>
      </c>
    </row>
    <row r="18" customFormat="false" ht="15" hidden="false" customHeight="false" outlineLevel="0" collapsed="false">
      <c r="A18" s="13" t="s">
        <v>109</v>
      </c>
      <c r="B18" s="14" t="s">
        <v>110</v>
      </c>
      <c r="C18" s="13" t="s">
        <v>68</v>
      </c>
      <c r="D18" s="13" t="s">
        <v>69</v>
      </c>
      <c r="E18" s="15" t="s">
        <v>111</v>
      </c>
      <c r="F18" s="13" t="s">
        <v>58</v>
      </c>
      <c r="G18" s="13" t="s">
        <v>90</v>
      </c>
      <c r="H18" s="14" t="s">
        <v>105</v>
      </c>
    </row>
    <row r="19" customFormat="false" ht="15" hidden="false" customHeight="false" outlineLevel="0" collapsed="false">
      <c r="A19" s="13" t="s">
        <v>112</v>
      </c>
      <c r="B19" s="14" t="s">
        <v>113</v>
      </c>
      <c r="C19" s="13" t="s">
        <v>68</v>
      </c>
      <c r="D19" s="13" t="s">
        <v>69</v>
      </c>
      <c r="E19" s="15" t="s">
        <v>114</v>
      </c>
      <c r="F19" s="13" t="s">
        <v>58</v>
      </c>
      <c r="G19" s="13" t="s">
        <v>90</v>
      </c>
      <c r="H19" s="14" t="s">
        <v>105</v>
      </c>
    </row>
    <row r="20" customFormat="false" ht="15" hidden="false" customHeight="false" outlineLevel="0" collapsed="false">
      <c r="A20" s="13" t="s">
        <v>115</v>
      </c>
      <c r="B20" s="14" t="s">
        <v>116</v>
      </c>
      <c r="C20" s="13" t="s">
        <v>68</v>
      </c>
      <c r="D20" s="13" t="s">
        <v>69</v>
      </c>
      <c r="E20" s="15" t="s">
        <v>117</v>
      </c>
      <c r="F20" s="13" t="s">
        <v>58</v>
      </c>
      <c r="G20" s="13" t="s">
        <v>90</v>
      </c>
      <c r="H20" s="14" t="s">
        <v>105</v>
      </c>
    </row>
    <row r="21" customFormat="false" ht="15" hidden="false" customHeight="false" outlineLevel="0" collapsed="false">
      <c r="A21" s="13" t="s">
        <v>118</v>
      </c>
      <c r="B21" s="14" t="s">
        <v>119</v>
      </c>
      <c r="C21" s="13" t="s">
        <v>68</v>
      </c>
      <c r="D21" s="13" t="s">
        <v>69</v>
      </c>
      <c r="E21" s="15" t="s">
        <v>120</v>
      </c>
      <c r="F21" s="13" t="s">
        <v>58</v>
      </c>
      <c r="G21" s="13" t="s">
        <v>90</v>
      </c>
      <c r="H21" s="14" t="s">
        <v>105</v>
      </c>
    </row>
    <row r="22" customFormat="false" ht="15" hidden="false" customHeight="false" outlineLevel="0" collapsed="false">
      <c r="A22" s="13" t="s">
        <v>121</v>
      </c>
      <c r="B22" s="14" t="s">
        <v>122</v>
      </c>
      <c r="C22" s="13" t="s">
        <v>68</v>
      </c>
      <c r="D22" s="13" t="s">
        <v>69</v>
      </c>
      <c r="E22" s="15" t="s">
        <v>123</v>
      </c>
      <c r="F22" s="13" t="s">
        <v>58</v>
      </c>
      <c r="G22" s="13" t="s">
        <v>90</v>
      </c>
      <c r="H22" s="14" t="s">
        <v>105</v>
      </c>
    </row>
    <row r="23" customFormat="false" ht="15" hidden="false" customHeight="false" outlineLevel="0" collapsed="false">
      <c r="A23" s="13" t="s">
        <v>124</v>
      </c>
      <c r="B23" s="14" t="s">
        <v>125</v>
      </c>
      <c r="C23" s="13" t="s">
        <v>68</v>
      </c>
      <c r="D23" s="13" t="s">
        <v>69</v>
      </c>
      <c r="E23" s="15" t="s">
        <v>126</v>
      </c>
      <c r="F23" s="13" t="s">
        <v>58</v>
      </c>
      <c r="G23" s="13" t="s">
        <v>90</v>
      </c>
      <c r="H23" s="14" t="s">
        <v>105</v>
      </c>
    </row>
    <row r="24" customFormat="false" ht="15" hidden="false" customHeight="false" outlineLevel="0" collapsed="false">
      <c r="A24" s="13" t="s">
        <v>127</v>
      </c>
      <c r="B24" s="14" t="s">
        <v>128</v>
      </c>
      <c r="C24" s="13" t="s">
        <v>68</v>
      </c>
      <c r="D24" s="13" t="s">
        <v>69</v>
      </c>
      <c r="E24" s="15" t="s">
        <v>129</v>
      </c>
      <c r="F24" s="13" t="s">
        <v>58</v>
      </c>
      <c r="G24" s="13" t="s">
        <v>90</v>
      </c>
      <c r="H24" s="14" t="s">
        <v>105</v>
      </c>
    </row>
    <row r="25" customFormat="false" ht="15" hidden="false" customHeight="false" outlineLevel="0" collapsed="false">
      <c r="A25" s="13" t="s">
        <v>130</v>
      </c>
      <c r="B25" s="14" t="s">
        <v>131</v>
      </c>
      <c r="C25" s="13" t="s">
        <v>68</v>
      </c>
      <c r="D25" s="13" t="s">
        <v>69</v>
      </c>
      <c r="E25" s="15" t="s">
        <v>132</v>
      </c>
      <c r="F25" s="13" t="s">
        <v>58</v>
      </c>
      <c r="G25" s="13" t="s">
        <v>90</v>
      </c>
      <c r="H25" s="14" t="s">
        <v>105</v>
      </c>
    </row>
    <row r="26" customFormat="false" ht="15" hidden="false" customHeight="false" outlineLevel="0" collapsed="false">
      <c r="A26" s="13" t="s">
        <v>133</v>
      </c>
      <c r="B26" s="14" t="s">
        <v>134</v>
      </c>
      <c r="C26" s="13" t="s">
        <v>68</v>
      </c>
      <c r="D26" s="13" t="s">
        <v>69</v>
      </c>
      <c r="E26" s="15" t="s">
        <v>135</v>
      </c>
      <c r="F26" s="13" t="s">
        <v>58</v>
      </c>
      <c r="G26" s="13" t="s">
        <v>90</v>
      </c>
      <c r="H26" s="14" t="s">
        <v>105</v>
      </c>
    </row>
    <row r="27" customFormat="false" ht="15" hidden="false" customHeight="false" outlineLevel="0" collapsed="false">
      <c r="A27" s="13" t="s">
        <v>136</v>
      </c>
      <c r="B27" s="14" t="s">
        <v>137</v>
      </c>
      <c r="C27" s="13" t="s">
        <v>138</v>
      </c>
      <c r="D27" s="13" t="s">
        <v>75</v>
      </c>
      <c r="E27" s="15" t="s">
        <v>139</v>
      </c>
      <c r="F27" s="13" t="s">
        <v>58</v>
      </c>
      <c r="G27" s="13" t="s">
        <v>140</v>
      </c>
      <c r="H27" s="14" t="s">
        <v>141</v>
      </c>
    </row>
    <row r="28" customFormat="false" ht="23.85" hidden="false" customHeight="false" outlineLevel="0" collapsed="false">
      <c r="A28" s="13" t="s">
        <v>142</v>
      </c>
      <c r="B28" s="14" t="s">
        <v>143</v>
      </c>
      <c r="C28" s="13" t="s">
        <v>74</v>
      </c>
      <c r="D28" s="13" t="s">
        <v>75</v>
      </c>
      <c r="E28" s="15" t="s">
        <v>144</v>
      </c>
      <c r="F28" s="13" t="s">
        <v>145</v>
      </c>
      <c r="G28" s="13" t="s">
        <v>140</v>
      </c>
      <c r="H28" s="14" t="s">
        <v>146</v>
      </c>
    </row>
    <row r="29" customFormat="false" ht="15" hidden="false" customHeight="false" outlineLevel="0" collapsed="false">
      <c r="A29" s="13" t="s">
        <v>147</v>
      </c>
      <c r="B29" s="14" t="s">
        <v>148</v>
      </c>
      <c r="C29" s="13" t="s">
        <v>74</v>
      </c>
      <c r="D29" s="13" t="s">
        <v>75</v>
      </c>
      <c r="E29" s="15" t="s">
        <v>149</v>
      </c>
      <c r="F29" s="13" t="s">
        <v>58</v>
      </c>
      <c r="G29" s="13" t="s">
        <v>140</v>
      </c>
      <c r="H29" s="14" t="s">
        <v>141</v>
      </c>
    </row>
    <row r="30" customFormat="false" ht="23.85" hidden="false" customHeight="false" outlineLevel="0" collapsed="false">
      <c r="A30" s="13" t="s">
        <v>150</v>
      </c>
      <c r="B30" s="14" t="s">
        <v>151</v>
      </c>
      <c r="C30" s="13" t="s">
        <v>74</v>
      </c>
      <c r="D30" s="13" t="s">
        <v>75</v>
      </c>
      <c r="E30" s="15" t="s">
        <v>152</v>
      </c>
      <c r="F30" s="13" t="s">
        <v>145</v>
      </c>
      <c r="G30" s="13" t="s">
        <v>140</v>
      </c>
      <c r="H30" s="14" t="s">
        <v>153</v>
      </c>
    </row>
    <row r="31" customFormat="false" ht="15" hidden="false" customHeight="false" outlineLevel="0" collapsed="false">
      <c r="A31" s="13" t="s">
        <v>154</v>
      </c>
      <c r="B31" s="14" t="s">
        <v>155</v>
      </c>
      <c r="C31" s="13" t="s">
        <v>68</v>
      </c>
      <c r="D31" s="13" t="s">
        <v>69</v>
      </c>
      <c r="E31" s="15" t="s">
        <v>156</v>
      </c>
      <c r="F31" s="13" t="s">
        <v>58</v>
      </c>
      <c r="G31" s="13" t="s">
        <v>140</v>
      </c>
      <c r="H31" s="14" t="s">
        <v>141</v>
      </c>
    </row>
    <row r="32" customFormat="false" ht="15" hidden="false" customHeight="false" outlineLevel="0" collapsed="false">
      <c r="A32" s="13" t="s">
        <v>157</v>
      </c>
      <c r="B32" s="14" t="s">
        <v>158</v>
      </c>
      <c r="C32" s="13" t="s">
        <v>68</v>
      </c>
      <c r="D32" s="13" t="s">
        <v>69</v>
      </c>
      <c r="E32" s="15" t="s">
        <v>159</v>
      </c>
      <c r="F32" s="13" t="s">
        <v>58</v>
      </c>
      <c r="G32" s="13" t="s">
        <v>140</v>
      </c>
      <c r="H32" s="14" t="s">
        <v>141</v>
      </c>
    </row>
    <row r="33" customFormat="false" ht="15" hidden="false" customHeight="false" outlineLevel="0" collapsed="false">
      <c r="A33" s="13" t="s">
        <v>160</v>
      </c>
      <c r="B33" s="14" t="s">
        <v>161</v>
      </c>
      <c r="C33" s="13" t="s">
        <v>68</v>
      </c>
      <c r="D33" s="13" t="s">
        <v>69</v>
      </c>
      <c r="E33" s="15" t="s">
        <v>162</v>
      </c>
      <c r="F33" s="13" t="s">
        <v>58</v>
      </c>
      <c r="G33" s="13" t="s">
        <v>140</v>
      </c>
      <c r="H33" s="14" t="s">
        <v>141</v>
      </c>
    </row>
    <row r="34" customFormat="false" ht="15" hidden="false" customHeight="false" outlineLevel="0" collapsed="false">
      <c r="A34" s="13" t="s">
        <v>163</v>
      </c>
      <c r="B34" s="14" t="s">
        <v>164</v>
      </c>
      <c r="C34" s="13" t="s">
        <v>68</v>
      </c>
      <c r="D34" s="13" t="s">
        <v>69</v>
      </c>
      <c r="E34" s="15" t="s">
        <v>165</v>
      </c>
      <c r="F34" s="13" t="s">
        <v>58</v>
      </c>
      <c r="G34" s="13" t="s">
        <v>140</v>
      </c>
      <c r="H34" s="14" t="s">
        <v>141</v>
      </c>
    </row>
    <row r="35" customFormat="false" ht="15" hidden="false" customHeight="false" outlineLevel="0" collapsed="false">
      <c r="A35" s="13" t="s">
        <v>166</v>
      </c>
      <c r="B35" s="14" t="s">
        <v>167</v>
      </c>
      <c r="C35" s="13" t="s">
        <v>68</v>
      </c>
      <c r="D35" s="13" t="s">
        <v>69</v>
      </c>
      <c r="E35" s="15" t="s">
        <v>168</v>
      </c>
      <c r="F35" s="13" t="s">
        <v>58</v>
      </c>
      <c r="G35" s="13" t="s">
        <v>140</v>
      </c>
      <c r="H35" s="14" t="s">
        <v>141</v>
      </c>
    </row>
    <row r="36" customFormat="false" ht="15" hidden="false" customHeight="false" outlineLevel="0" collapsed="false">
      <c r="A36" s="13" t="s">
        <v>169</v>
      </c>
      <c r="B36" s="14" t="s">
        <v>170</v>
      </c>
      <c r="C36" s="13" t="s">
        <v>68</v>
      </c>
      <c r="D36" s="13" t="s">
        <v>69</v>
      </c>
      <c r="E36" s="15" t="s">
        <v>171</v>
      </c>
      <c r="F36" s="13" t="s">
        <v>58</v>
      </c>
      <c r="G36" s="13" t="s">
        <v>140</v>
      </c>
      <c r="H36" s="14" t="s">
        <v>141</v>
      </c>
    </row>
    <row r="37" customFormat="false" ht="15" hidden="false" customHeight="false" outlineLevel="0" collapsed="false">
      <c r="A37" s="13" t="s">
        <v>172</v>
      </c>
      <c r="B37" s="14" t="s">
        <v>173</v>
      </c>
      <c r="C37" s="13" t="s">
        <v>68</v>
      </c>
      <c r="D37" s="13" t="s">
        <v>69</v>
      </c>
      <c r="E37" s="15" t="s">
        <v>174</v>
      </c>
      <c r="F37" s="13" t="s">
        <v>58</v>
      </c>
      <c r="G37" s="13" t="s">
        <v>140</v>
      </c>
      <c r="H37" s="14" t="s">
        <v>141</v>
      </c>
    </row>
    <row r="38" customFormat="false" ht="15" hidden="false" customHeight="false" outlineLevel="0" collapsed="false">
      <c r="A38" s="13" t="s">
        <v>175</v>
      </c>
      <c r="B38" s="14" t="s">
        <v>176</v>
      </c>
      <c r="C38" s="13" t="s">
        <v>68</v>
      </c>
      <c r="D38" s="13" t="s">
        <v>69</v>
      </c>
      <c r="E38" s="15" t="s">
        <v>177</v>
      </c>
      <c r="F38" s="13" t="s">
        <v>58</v>
      </c>
      <c r="G38" s="13" t="s">
        <v>140</v>
      </c>
      <c r="H38" s="14" t="s">
        <v>141</v>
      </c>
    </row>
    <row r="39" customFormat="false" ht="15" hidden="false" customHeight="false" outlineLevel="0" collapsed="false">
      <c r="A39" s="13" t="s">
        <v>178</v>
      </c>
      <c r="B39" s="14" t="s">
        <v>179</v>
      </c>
      <c r="C39" s="13" t="s">
        <v>68</v>
      </c>
      <c r="D39" s="13" t="s">
        <v>69</v>
      </c>
      <c r="E39" s="15" t="s">
        <v>180</v>
      </c>
      <c r="F39" s="13" t="s">
        <v>58</v>
      </c>
      <c r="G39" s="13" t="s">
        <v>140</v>
      </c>
      <c r="H39" s="14" t="s">
        <v>141</v>
      </c>
    </row>
    <row r="40" customFormat="false" ht="15" hidden="false" customHeight="false" outlineLevel="0" collapsed="false">
      <c r="A40" s="13" t="s">
        <v>181</v>
      </c>
      <c r="B40" s="14" t="s">
        <v>182</v>
      </c>
      <c r="C40" s="13" t="s">
        <v>68</v>
      </c>
      <c r="D40" s="13" t="s">
        <v>69</v>
      </c>
      <c r="E40" s="15" t="s">
        <v>183</v>
      </c>
      <c r="F40" s="13" t="s">
        <v>58</v>
      </c>
      <c r="G40" s="13" t="s">
        <v>140</v>
      </c>
      <c r="H40" s="14" t="s">
        <v>141</v>
      </c>
    </row>
    <row r="41" customFormat="false" ht="15" hidden="false" customHeight="false" outlineLevel="0" collapsed="false">
      <c r="A41" s="13" t="s">
        <v>184</v>
      </c>
      <c r="B41" s="14" t="s">
        <v>185</v>
      </c>
      <c r="C41" s="13" t="s">
        <v>68</v>
      </c>
      <c r="D41" s="13" t="s">
        <v>69</v>
      </c>
      <c r="E41" s="15" t="s">
        <v>186</v>
      </c>
      <c r="F41" s="13" t="s">
        <v>58</v>
      </c>
      <c r="G41" s="13" t="s">
        <v>140</v>
      </c>
      <c r="H41" s="14" t="s">
        <v>141</v>
      </c>
    </row>
    <row r="42" customFormat="false" ht="15" hidden="false" customHeight="false" outlineLevel="0" collapsed="false">
      <c r="A42" s="13" t="s">
        <v>187</v>
      </c>
      <c r="B42" s="14" t="s">
        <v>188</v>
      </c>
      <c r="C42" s="13" t="s">
        <v>68</v>
      </c>
      <c r="D42" s="13" t="s">
        <v>69</v>
      </c>
      <c r="E42" s="15" t="s">
        <v>189</v>
      </c>
      <c r="F42" s="13" t="s">
        <v>58</v>
      </c>
      <c r="G42" s="13" t="s">
        <v>140</v>
      </c>
      <c r="H42" s="14" t="s">
        <v>141</v>
      </c>
    </row>
    <row r="43" customFormat="false" ht="15" hidden="false" customHeight="false" outlineLevel="0" collapsed="false">
      <c r="A43" s="13" t="s">
        <v>190</v>
      </c>
      <c r="B43" s="14" t="s">
        <v>191</v>
      </c>
      <c r="C43" s="13" t="s">
        <v>68</v>
      </c>
      <c r="D43" s="13" t="s">
        <v>69</v>
      </c>
      <c r="E43" s="15" t="s">
        <v>192</v>
      </c>
      <c r="F43" s="13" t="s">
        <v>58</v>
      </c>
      <c r="G43" s="13" t="s">
        <v>140</v>
      </c>
      <c r="H43" s="14" t="s">
        <v>141</v>
      </c>
    </row>
    <row r="44" customFormat="false" ht="15" hidden="false" customHeight="false" outlineLevel="0" collapsed="false">
      <c r="A44" s="13" t="s">
        <v>193</v>
      </c>
      <c r="B44" s="14" t="s">
        <v>194</v>
      </c>
      <c r="C44" s="13" t="s">
        <v>68</v>
      </c>
      <c r="D44" s="13" t="s">
        <v>69</v>
      </c>
      <c r="E44" s="15" t="s">
        <v>195</v>
      </c>
      <c r="F44" s="13" t="s">
        <v>58</v>
      </c>
      <c r="G44" s="13" t="s">
        <v>140</v>
      </c>
      <c r="H44" s="14" t="s">
        <v>141</v>
      </c>
    </row>
    <row r="45" customFormat="false" ht="15" hidden="false" customHeight="false" outlineLevel="0" collapsed="false">
      <c r="A45" s="13" t="s">
        <v>196</v>
      </c>
      <c r="B45" s="14" t="s">
        <v>197</v>
      </c>
      <c r="C45" s="13" t="s">
        <v>68</v>
      </c>
      <c r="D45" s="13" t="s">
        <v>69</v>
      </c>
      <c r="E45" s="15" t="s">
        <v>198</v>
      </c>
      <c r="F45" s="13" t="s">
        <v>58</v>
      </c>
      <c r="G45" s="13" t="s">
        <v>140</v>
      </c>
      <c r="H45" s="14" t="s">
        <v>141</v>
      </c>
    </row>
    <row r="46" customFormat="false" ht="15" hidden="false" customHeight="false" outlineLevel="0" collapsed="false">
      <c r="A46" s="13" t="s">
        <v>199</v>
      </c>
      <c r="B46" s="14" t="s">
        <v>200</v>
      </c>
      <c r="C46" s="13" t="s">
        <v>68</v>
      </c>
      <c r="D46" s="13" t="s">
        <v>69</v>
      </c>
      <c r="E46" s="15" t="s">
        <v>201</v>
      </c>
      <c r="F46" s="13" t="s">
        <v>58</v>
      </c>
      <c r="G46" s="13" t="s">
        <v>140</v>
      </c>
      <c r="H46" s="14" t="s">
        <v>141</v>
      </c>
    </row>
    <row r="47" customFormat="false" ht="15" hidden="false" customHeight="false" outlineLevel="0" collapsed="false">
      <c r="A47" s="13" t="s">
        <v>202</v>
      </c>
      <c r="B47" s="14" t="s">
        <v>203</v>
      </c>
      <c r="C47" s="13" t="s">
        <v>68</v>
      </c>
      <c r="D47" s="13" t="s">
        <v>69</v>
      </c>
      <c r="E47" s="15" t="s">
        <v>204</v>
      </c>
      <c r="F47" s="13" t="s">
        <v>58</v>
      </c>
      <c r="G47" s="13" t="s">
        <v>140</v>
      </c>
      <c r="H47" s="14" t="s">
        <v>141</v>
      </c>
    </row>
    <row r="48" customFormat="false" ht="15" hidden="false" customHeight="false" outlineLevel="0" collapsed="false">
      <c r="A48" s="13" t="s">
        <v>205</v>
      </c>
      <c r="B48" s="14" t="s">
        <v>206</v>
      </c>
      <c r="C48" s="13" t="s">
        <v>68</v>
      </c>
      <c r="D48" s="13" t="s">
        <v>69</v>
      </c>
      <c r="E48" s="15" t="s">
        <v>207</v>
      </c>
      <c r="F48" s="13" t="s">
        <v>58</v>
      </c>
      <c r="G48" s="13" t="s">
        <v>140</v>
      </c>
      <c r="H48" s="14" t="s">
        <v>141</v>
      </c>
    </row>
    <row r="49" customFormat="false" ht="15" hidden="false" customHeight="false" outlineLevel="0" collapsed="false">
      <c r="A49" s="11" t="s">
        <v>208</v>
      </c>
      <c r="B49" s="12"/>
      <c r="C49" s="12"/>
      <c r="D49" s="12"/>
      <c r="E49" s="12"/>
      <c r="F49" s="12"/>
      <c r="G49" s="12"/>
      <c r="H49" s="12"/>
    </row>
    <row r="50" customFormat="false" ht="23.85" hidden="false" customHeight="false" outlineLevel="0" collapsed="false">
      <c r="A50" s="13" t="s">
        <v>209</v>
      </c>
      <c r="B50" s="14" t="s">
        <v>210</v>
      </c>
      <c r="C50" s="13" t="s">
        <v>80</v>
      </c>
      <c r="D50" s="13" t="s">
        <v>56</v>
      </c>
      <c r="E50" s="15" t="s">
        <v>211</v>
      </c>
      <c r="F50" s="13" t="s">
        <v>212</v>
      </c>
      <c r="G50" s="13" t="s">
        <v>59</v>
      </c>
      <c r="H50" s="14" t="s">
        <v>213</v>
      </c>
    </row>
    <row r="51" customFormat="false" ht="15" hidden="false" customHeight="false" outlineLevel="0" collapsed="false">
      <c r="A51" s="13" t="s">
        <v>214</v>
      </c>
      <c r="B51" s="14" t="s">
        <v>215</v>
      </c>
      <c r="C51" s="13" t="s">
        <v>74</v>
      </c>
      <c r="D51" s="13" t="s">
        <v>56</v>
      </c>
      <c r="E51" s="15" t="s">
        <v>216</v>
      </c>
      <c r="F51" s="13" t="s">
        <v>212</v>
      </c>
      <c r="G51" s="13" t="s">
        <v>59</v>
      </c>
      <c r="H51" s="14" t="s">
        <v>217</v>
      </c>
    </row>
    <row r="52" customFormat="false" ht="15" hidden="false" customHeight="false" outlineLevel="0" collapsed="false">
      <c r="A52" s="13" t="s">
        <v>218</v>
      </c>
      <c r="B52" s="14" t="s">
        <v>219</v>
      </c>
      <c r="C52" s="13" t="s">
        <v>74</v>
      </c>
      <c r="D52" s="13" t="s">
        <v>56</v>
      </c>
      <c r="E52" s="15" t="s">
        <v>220</v>
      </c>
      <c r="F52" s="13" t="s">
        <v>212</v>
      </c>
      <c r="G52" s="13" t="s">
        <v>59</v>
      </c>
      <c r="H52" s="14" t="s">
        <v>221</v>
      </c>
    </row>
    <row r="53" customFormat="false" ht="15" hidden="false" customHeight="false" outlineLevel="0" collapsed="false">
      <c r="A53" s="11" t="s">
        <v>222</v>
      </c>
      <c r="B53" s="12"/>
      <c r="C53" s="12"/>
      <c r="D53" s="12"/>
      <c r="E53" s="12"/>
      <c r="F53" s="12"/>
      <c r="G53" s="12"/>
      <c r="H53" s="12"/>
    </row>
    <row r="54" customFormat="false" ht="15" hidden="false" customHeight="false" outlineLevel="0" collapsed="false">
      <c r="A54" s="13" t="s">
        <v>223</v>
      </c>
      <c r="B54" s="14" t="s">
        <v>224</v>
      </c>
      <c r="C54" s="13" t="s">
        <v>80</v>
      </c>
      <c r="D54" s="13" t="s">
        <v>75</v>
      </c>
      <c r="E54" s="15" t="s">
        <v>225</v>
      </c>
      <c r="F54" s="13" t="s">
        <v>212</v>
      </c>
      <c r="G54" s="13" t="s">
        <v>90</v>
      </c>
      <c r="H54" s="14" t="s">
        <v>226</v>
      </c>
    </row>
    <row r="55" customFormat="false" ht="15" hidden="false" customHeight="false" outlineLevel="0" collapsed="false">
      <c r="A55" s="13" t="s">
        <v>227</v>
      </c>
      <c r="B55" s="14" t="s">
        <v>228</v>
      </c>
      <c r="C55" s="13" t="s">
        <v>74</v>
      </c>
      <c r="D55" s="13" t="s">
        <v>56</v>
      </c>
      <c r="E55" s="15" t="s">
        <v>229</v>
      </c>
      <c r="F55" s="13" t="s">
        <v>212</v>
      </c>
      <c r="G55" s="13" t="s">
        <v>90</v>
      </c>
      <c r="H55" s="14" t="s">
        <v>230</v>
      </c>
    </row>
    <row r="56" customFormat="false" ht="15" hidden="false" customHeight="false" outlineLevel="0" collapsed="false">
      <c r="A56" s="13" t="s">
        <v>231</v>
      </c>
      <c r="B56" s="14" t="s">
        <v>232</v>
      </c>
      <c r="C56" s="13" t="s">
        <v>74</v>
      </c>
      <c r="D56" s="13" t="s">
        <v>56</v>
      </c>
      <c r="E56" s="15" t="s">
        <v>233</v>
      </c>
      <c r="F56" s="13" t="s">
        <v>212</v>
      </c>
      <c r="G56" s="13" t="s">
        <v>90</v>
      </c>
      <c r="H56" s="14" t="s">
        <v>234</v>
      </c>
    </row>
    <row r="57" customFormat="false" ht="15" hidden="false" customHeight="false" outlineLevel="0" collapsed="false">
      <c r="A57" s="13" t="s">
        <v>235</v>
      </c>
      <c r="B57" s="14" t="s">
        <v>236</v>
      </c>
      <c r="C57" s="13" t="s">
        <v>74</v>
      </c>
      <c r="D57" s="13" t="s">
        <v>56</v>
      </c>
      <c r="E57" s="15" t="s">
        <v>237</v>
      </c>
      <c r="F57" s="13" t="s">
        <v>212</v>
      </c>
      <c r="G57" s="13" t="s">
        <v>90</v>
      </c>
      <c r="H57" s="14" t="s">
        <v>238</v>
      </c>
    </row>
    <row r="58" customFormat="false" ht="15" hidden="false" customHeight="false" outlineLevel="0" collapsed="false">
      <c r="A58" s="13" t="s">
        <v>239</v>
      </c>
      <c r="B58" s="14" t="s">
        <v>240</v>
      </c>
      <c r="C58" s="13" t="s">
        <v>74</v>
      </c>
      <c r="D58" s="13" t="s">
        <v>56</v>
      </c>
      <c r="E58" s="15" t="s">
        <v>241</v>
      </c>
      <c r="F58" s="13" t="s">
        <v>212</v>
      </c>
      <c r="G58" s="13" t="s">
        <v>90</v>
      </c>
      <c r="H58" s="14" t="s">
        <v>242</v>
      </c>
    </row>
    <row r="59" customFormat="false" ht="15" hidden="false" customHeight="false" outlineLevel="0" collapsed="false">
      <c r="A59" s="13" t="s">
        <v>243</v>
      </c>
      <c r="B59" s="14" t="s">
        <v>244</v>
      </c>
      <c r="C59" s="13" t="s">
        <v>74</v>
      </c>
      <c r="D59" s="13" t="s">
        <v>56</v>
      </c>
      <c r="E59" s="15" t="s">
        <v>245</v>
      </c>
      <c r="F59" s="13" t="s">
        <v>212</v>
      </c>
      <c r="G59" s="13" t="s">
        <v>90</v>
      </c>
      <c r="H59" s="14" t="s">
        <v>246</v>
      </c>
    </row>
    <row r="60" customFormat="false" ht="15" hidden="false" customHeight="false" outlineLevel="0" collapsed="false">
      <c r="A60" s="13" t="s">
        <v>247</v>
      </c>
      <c r="B60" s="14" t="s">
        <v>248</v>
      </c>
      <c r="C60" s="13" t="s">
        <v>74</v>
      </c>
      <c r="D60" s="13" t="s">
        <v>56</v>
      </c>
      <c r="E60" s="15" t="s">
        <v>249</v>
      </c>
      <c r="F60" s="13" t="s">
        <v>212</v>
      </c>
      <c r="G60" s="13" t="s">
        <v>90</v>
      </c>
      <c r="H60" s="14" t="s">
        <v>250</v>
      </c>
    </row>
    <row r="61" customFormat="false" ht="15" hidden="false" customHeight="false" outlineLevel="0" collapsed="false">
      <c r="A61" s="13" t="s">
        <v>251</v>
      </c>
      <c r="B61" s="14" t="s">
        <v>252</v>
      </c>
      <c r="C61" s="13" t="s">
        <v>80</v>
      </c>
      <c r="D61" s="13" t="s">
        <v>75</v>
      </c>
      <c r="E61" s="15" t="s">
        <v>253</v>
      </c>
      <c r="F61" s="13" t="s">
        <v>212</v>
      </c>
      <c r="G61" s="13" t="s">
        <v>140</v>
      </c>
      <c r="H61" s="14" t="s">
        <v>254</v>
      </c>
    </row>
    <row r="62" customFormat="false" ht="15" hidden="false" customHeight="false" outlineLevel="0" collapsed="false">
      <c r="A62" s="11" t="s">
        <v>255</v>
      </c>
      <c r="B62" s="12"/>
      <c r="C62" s="12"/>
      <c r="D62" s="12"/>
      <c r="E62" s="12"/>
      <c r="F62" s="12"/>
      <c r="G62" s="12"/>
      <c r="H62" s="12"/>
    </row>
    <row r="63" customFormat="false" ht="15" hidden="false" customHeight="false" outlineLevel="0" collapsed="false">
      <c r="A63" s="13" t="s">
        <v>256</v>
      </c>
      <c r="B63" s="14" t="s">
        <v>257</v>
      </c>
      <c r="C63" s="13" t="s">
        <v>68</v>
      </c>
      <c r="D63" s="13" t="s">
        <v>69</v>
      </c>
      <c r="E63" s="15" t="s">
        <v>258</v>
      </c>
      <c r="F63" s="13" t="s">
        <v>212</v>
      </c>
      <c r="G63" s="13" t="s">
        <v>59</v>
      </c>
      <c r="H63" s="14" t="s">
        <v>259</v>
      </c>
    </row>
    <row r="64" customFormat="false" ht="15" hidden="false" customHeight="false" outlineLevel="0" collapsed="false">
      <c r="A64" s="13" t="s">
        <v>260</v>
      </c>
      <c r="B64" s="14" t="s">
        <v>261</v>
      </c>
      <c r="C64" s="13" t="s">
        <v>68</v>
      </c>
      <c r="D64" s="13" t="s">
        <v>69</v>
      </c>
      <c r="E64" s="15" t="s">
        <v>262</v>
      </c>
      <c r="F64" s="13" t="s">
        <v>212</v>
      </c>
      <c r="G64" s="13" t="s">
        <v>59</v>
      </c>
      <c r="H64" s="14" t="s">
        <v>263</v>
      </c>
    </row>
    <row r="65" customFormat="false" ht="15" hidden="false" customHeight="false" outlineLevel="0" collapsed="false">
      <c r="A65" s="13" t="s">
        <v>264</v>
      </c>
      <c r="B65" s="14" t="s">
        <v>265</v>
      </c>
      <c r="C65" s="13" t="s">
        <v>68</v>
      </c>
      <c r="D65" s="13" t="s">
        <v>69</v>
      </c>
      <c r="E65" s="15" t="s">
        <v>266</v>
      </c>
      <c r="F65" s="13" t="s">
        <v>212</v>
      </c>
      <c r="G65" s="13" t="s">
        <v>59</v>
      </c>
      <c r="H65" s="14" t="s">
        <v>267</v>
      </c>
    </row>
    <row r="66" customFormat="false" ht="15" hidden="false" customHeight="false" outlineLevel="0" collapsed="false">
      <c r="A66" s="13" t="s">
        <v>268</v>
      </c>
      <c r="B66" s="14" t="s">
        <v>269</v>
      </c>
      <c r="C66" s="13" t="s">
        <v>68</v>
      </c>
      <c r="D66" s="13" t="s">
        <v>69</v>
      </c>
      <c r="E66" s="15" t="s">
        <v>270</v>
      </c>
      <c r="F66" s="13" t="s">
        <v>271</v>
      </c>
      <c r="G66" s="13" t="s">
        <v>90</v>
      </c>
      <c r="H66" s="14" t="s">
        <v>272</v>
      </c>
    </row>
    <row r="67" customFormat="false" ht="23.85" hidden="false" customHeight="false" outlineLevel="0" collapsed="false">
      <c r="A67" s="13" t="s">
        <v>273</v>
      </c>
      <c r="B67" s="14" t="s">
        <v>274</v>
      </c>
      <c r="C67" s="13" t="s">
        <v>68</v>
      </c>
      <c r="D67" s="13" t="s">
        <v>69</v>
      </c>
      <c r="E67" s="15" t="s">
        <v>275</v>
      </c>
      <c r="F67" s="13" t="s">
        <v>212</v>
      </c>
      <c r="G67" s="13" t="s">
        <v>90</v>
      </c>
      <c r="H67" s="14" t="s">
        <v>276</v>
      </c>
    </row>
    <row r="68" customFormat="false" ht="23.85" hidden="false" customHeight="false" outlineLevel="0" collapsed="false">
      <c r="A68" s="13" t="s">
        <v>277</v>
      </c>
      <c r="B68" s="14" t="s">
        <v>278</v>
      </c>
      <c r="C68" s="13" t="s">
        <v>68</v>
      </c>
      <c r="D68" s="13" t="s">
        <v>69</v>
      </c>
      <c r="E68" s="15" t="s">
        <v>279</v>
      </c>
      <c r="F68" s="13" t="s">
        <v>212</v>
      </c>
      <c r="G68" s="13" t="s">
        <v>90</v>
      </c>
      <c r="H68" s="14" t="s">
        <v>280</v>
      </c>
    </row>
    <row r="69" customFormat="false" ht="23.85" hidden="false" customHeight="false" outlineLevel="0" collapsed="false">
      <c r="A69" s="13" t="s">
        <v>281</v>
      </c>
      <c r="B69" s="14" t="s">
        <v>282</v>
      </c>
      <c r="C69" s="13" t="s">
        <v>68</v>
      </c>
      <c r="D69" s="13" t="s">
        <v>69</v>
      </c>
      <c r="E69" s="15" t="s">
        <v>283</v>
      </c>
      <c r="F69" s="13" t="s">
        <v>212</v>
      </c>
      <c r="G69" s="13" t="s">
        <v>90</v>
      </c>
      <c r="H69" s="14" t="s">
        <v>284</v>
      </c>
    </row>
    <row r="70" customFormat="false" ht="15" hidden="false" customHeight="false" outlineLevel="0" collapsed="false">
      <c r="A70" s="13" t="s">
        <v>285</v>
      </c>
      <c r="B70" s="14" t="s">
        <v>286</v>
      </c>
      <c r="C70" s="13" t="s">
        <v>68</v>
      </c>
      <c r="D70" s="13" t="s">
        <v>69</v>
      </c>
      <c r="E70" s="15" t="s">
        <v>287</v>
      </c>
      <c r="F70" s="13" t="s">
        <v>212</v>
      </c>
      <c r="G70" s="13" t="s">
        <v>90</v>
      </c>
      <c r="H70" s="14" t="s">
        <v>288</v>
      </c>
    </row>
    <row r="71" customFormat="false" ht="15" hidden="false" customHeight="false" outlineLevel="0" collapsed="false">
      <c r="A71" s="13" t="s">
        <v>289</v>
      </c>
      <c r="B71" s="14" t="s">
        <v>290</v>
      </c>
      <c r="C71" s="13" t="s">
        <v>68</v>
      </c>
      <c r="D71" s="13" t="s">
        <v>69</v>
      </c>
      <c r="E71" s="15" t="s">
        <v>291</v>
      </c>
      <c r="F71" s="13" t="s">
        <v>212</v>
      </c>
      <c r="G71" s="13" t="s">
        <v>90</v>
      </c>
      <c r="H71" s="14" t="s">
        <v>288</v>
      </c>
    </row>
    <row r="72" customFormat="false" ht="23.85" hidden="false" customHeight="false" outlineLevel="0" collapsed="false">
      <c r="A72" s="13" t="s">
        <v>292</v>
      </c>
      <c r="B72" s="14" t="s">
        <v>293</v>
      </c>
      <c r="C72" s="13" t="s">
        <v>68</v>
      </c>
      <c r="D72" s="13" t="s">
        <v>69</v>
      </c>
      <c r="E72" s="15" t="s">
        <v>294</v>
      </c>
      <c r="F72" s="13" t="s">
        <v>212</v>
      </c>
      <c r="G72" s="13" t="s">
        <v>90</v>
      </c>
      <c r="H72" s="14" t="s">
        <v>295</v>
      </c>
    </row>
    <row r="73" customFormat="false" ht="23.85" hidden="false" customHeight="false" outlineLevel="0" collapsed="false">
      <c r="A73" s="13" t="s">
        <v>296</v>
      </c>
      <c r="B73" s="14" t="s">
        <v>297</v>
      </c>
      <c r="C73" s="13" t="s">
        <v>68</v>
      </c>
      <c r="D73" s="13" t="s">
        <v>69</v>
      </c>
      <c r="E73" s="15" t="s">
        <v>298</v>
      </c>
      <c r="F73" s="13" t="s">
        <v>212</v>
      </c>
      <c r="G73" s="13" t="s">
        <v>90</v>
      </c>
      <c r="H73" s="14" t="s">
        <v>299</v>
      </c>
    </row>
    <row r="74" customFormat="false" ht="15" hidden="false" customHeight="false" outlineLevel="0" collapsed="false">
      <c r="A74" s="13" t="s">
        <v>300</v>
      </c>
      <c r="B74" s="14" t="s">
        <v>301</v>
      </c>
      <c r="C74" s="13" t="s">
        <v>68</v>
      </c>
      <c r="D74" s="13" t="s">
        <v>69</v>
      </c>
      <c r="E74" s="15" t="s">
        <v>302</v>
      </c>
      <c r="F74" s="13" t="s">
        <v>212</v>
      </c>
      <c r="G74" s="13" t="s">
        <v>90</v>
      </c>
      <c r="H74" s="14" t="s">
        <v>303</v>
      </c>
    </row>
    <row r="76" customFormat="false" ht="15" hidden="false" customHeight="false" outlineLevel="0" collapsed="false">
      <c r="A76" s="7" t="s">
        <v>304</v>
      </c>
    </row>
    <row r="77" customFormat="false" ht="26.85" hidden="false" customHeight="false" outlineLevel="0" collapsed="false">
      <c r="A77" s="3" t="s">
        <v>305</v>
      </c>
      <c r="B77" s="3" t="s">
        <v>306</v>
      </c>
      <c r="C77" s="3" t="s">
        <v>307</v>
      </c>
      <c r="D77" s="3" t="s">
        <v>308</v>
      </c>
    </row>
    <row r="78" customFormat="false" ht="15" hidden="false" customHeight="false" outlineLevel="0" collapsed="false">
      <c r="A78" s="14" t="n">
        <v>51</v>
      </c>
      <c r="B78" s="14" t="s">
        <v>309</v>
      </c>
      <c r="C78" s="14" t="s">
        <v>310</v>
      </c>
      <c r="D78" s="14" t="s">
        <v>218</v>
      </c>
    </row>
    <row r="79" customFormat="false" ht="57.45" hidden="false" customHeight="false" outlineLevel="0" collapsed="false">
      <c r="A79" s="14" t="n">
        <v>190</v>
      </c>
      <c r="B79" s="14" t="s">
        <v>311</v>
      </c>
      <c r="C79" s="14" t="s">
        <v>312</v>
      </c>
      <c r="D79" s="14" t="s">
        <v>264</v>
      </c>
    </row>
    <row r="80" customFormat="false" ht="23.85" hidden="false" customHeight="false" outlineLevel="0" collapsed="false">
      <c r="A80" s="14" t="n">
        <v>453</v>
      </c>
      <c r="B80" s="14" t="s">
        <v>313</v>
      </c>
      <c r="C80" s="14" t="s">
        <v>314</v>
      </c>
      <c r="D80" s="14" t="s">
        <v>260</v>
      </c>
    </row>
    <row r="81" customFormat="false" ht="23.85" hidden="false" customHeight="false" outlineLevel="0" collapsed="false">
      <c r="A81" s="14" t="n">
        <v>453</v>
      </c>
      <c r="B81" s="14" t="s">
        <v>313</v>
      </c>
      <c r="C81" s="14" t="s">
        <v>315</v>
      </c>
      <c r="D81" s="14" t="s">
        <v>256</v>
      </c>
    </row>
  </sheetData>
  <hyperlinks>
    <hyperlink ref="E6" r:id="rId1" display="http://www.secretariasenado.gov.co/senado/basedoc/constitucion_politica_1991.html?q=Constitucion"/>
    <hyperlink ref="E7" r:id="rId2" display="http://www.secretariasenado.gov.co/senado/basedoc/?q=Estatuto%20tributario"/>
    <hyperlink ref="E8" r:id="rId3" display="https://www.corteconstitucional.gov.co/relatoria/?q=Sentencia%20C-355%20de%202006"/>
    <hyperlink ref="E9" r:id="rId4" display="https://www.suin-juriscol.gov.co/legislacion/?q=Ley%201581%20de%202012"/>
    <hyperlink ref="E10" r:id="rId5" display="https://www.suin-juriscol.gov.co/legislacion/?q=Decreto%202067%20de%201991"/>
    <hyperlink ref="E11" r:id="rId6" display="https://www.corteconstitucional.gov.co/relatoria/?q=Sentencia%20C-332%20de%202025"/>
    <hyperlink ref="E12" r:id="rId7" display="https://www.corteconstitucional.gov.co/relatoria/?q=Sentencia%20T-323%20de%202024"/>
    <hyperlink ref="E13" r:id="rId8" display="https://www.corteconstitucional.gov.co/relatoria/?q=Sentencia%20C-55%20de%202022"/>
    <hyperlink ref="E14" r:id="rId9" display="https://www.corteconstitucional.gov.co/relatoria/?q=Sentencia%20C-394%20de%202017"/>
    <hyperlink ref="E15" r:id="rId10" display="https://www.corteconstitucional.gov.co/relatoria/?q=Sentencia%20T-760%20de%202008"/>
    <hyperlink ref="E16" r:id="rId11" display="https://www.suin-juriscol.gov.co/legislacion/?q=Ley%201095%20de%202006"/>
    <hyperlink ref="E17" r:id="rId12" display="https://www.suin-juriscol.gov.co/legislacion/?q=Ley%202141%20de%202021"/>
    <hyperlink ref="E18" r:id="rId13" display="https://www.corteconstitucional.gov.co/relatoria/?q=Sentencia%20C-15%20de%202018"/>
    <hyperlink ref="E19" r:id="rId14" display="https://www.corteconstitucional.gov.co/relatoria/?q=Sentencia%20C-94%20de%202021"/>
    <hyperlink ref="E20" r:id="rId15" display="https://www.corteconstitucional.gov.co/relatoria/?q=Sentencia%20C-127%20de%202011"/>
    <hyperlink ref="E21" r:id="rId16" display="https://www.corteconstitucional.gov.co/relatoria/?q=Sentencia%20C-134%20de%202019"/>
    <hyperlink ref="E22" r:id="rId17" display="https://www.corteconstitucional.gov.co/relatoria/?q=Sentencia%20C-164%20de%202022"/>
    <hyperlink ref="E23" r:id="rId18" display="https://www.corteconstitucional.gov.co/relatoria/?q=Sentencia%20C-431%20de%202001"/>
    <hyperlink ref="E24" r:id="rId19" display="https://www.corteconstitucional.gov.co/relatoria/?q=Sentencia%20C-582%20de%201999"/>
    <hyperlink ref="E25" r:id="rId20" display="https://www.corteconstitucional.gov.co/relatoria/?q=Sentencia%20C-746%20de%202011"/>
    <hyperlink ref="E26" r:id="rId21" display="https://www.corteconstitucional.gov.co/relatoria/?q=Sentencia%20T-547%20de%202017"/>
    <hyperlink ref="E27" r:id="rId22" display="https://www.suin-juriscol.gov.co/legislacion/?q=Acuerdo%2002%20de%202015"/>
    <hyperlink ref="E28" r:id="rId23" display="https://www.suin-juriscol.gov.co/legislacion/?q=Ley%2011500%20de%202007"/>
    <hyperlink ref="E29" r:id="rId24" display="https://www.suin-juriscol.gov.co/legislacion/?q=Ley%201909%20de%202018"/>
    <hyperlink ref="E30" r:id="rId25" display="https://www.suin-juriscol.gov.co/legislacion/?q=Ley%2023%20de%201961"/>
    <hyperlink ref="E31" r:id="rId26" display="https://www.corteconstitucional.gov.co/relatoria/?q=Sentencia%20C-22%20de%201996"/>
    <hyperlink ref="E32" r:id="rId27" display="https://www.corteconstitucional.gov.co/relatoria/?q=Sentencia%20C-106%20de%202018"/>
    <hyperlink ref="E33" r:id="rId28" display="https://www.corteconstitucional.gov.co/relatoria/?q=Sentencia%20C-145%20de%202020"/>
    <hyperlink ref="E34" r:id="rId29" display="https://www.corteconstitucional.gov.co/relatoria/?q=Sentencia%20C-149%20de%201993"/>
    <hyperlink ref="E35" r:id="rId30" display="https://www.corteconstitucional.gov.co/relatoria/?q=Sentencia%20C-225%20de%201995"/>
    <hyperlink ref="E36" r:id="rId31" display="https://www.corteconstitucional.gov.co/relatoria/?q=Sentencia%20C-233%20de%202021"/>
    <hyperlink ref="E37" r:id="rId32" display="https://www.corteconstitucional.gov.co/relatoria/?q=Sentencia%20C-239%20de%201997"/>
    <hyperlink ref="E38" r:id="rId33" display="https://www.corteconstitucional.gov.co/relatoria/?q=Sentencia%20C-459%20de%202023"/>
    <hyperlink ref="E39" r:id="rId34" display="https://www.corteconstitucional.gov.co/relatoria/?q=Sentencia%20C-700%20de%201999"/>
    <hyperlink ref="E40" r:id="rId35" display="https://www.corteconstitucional.gov.co/relatoria/?q=Sentencia%20T-67%20de%202025"/>
    <hyperlink ref="E41" r:id="rId36" display="https://www.corteconstitucional.gov.co/relatoria/?q=Sentencia%20T-1001%20de%202001"/>
    <hyperlink ref="E42" r:id="rId37" display="https://www.corteconstitucional.gov.co/relatoria/?q=Sentencia%20T-230%20de%202023"/>
    <hyperlink ref="E43" r:id="rId38" display="https://www.corteconstitucional.gov.co/relatoria/?q=Sentencia%20T-262%20de%202025"/>
    <hyperlink ref="E44" r:id="rId39" display="https://www.corteconstitucional.gov.co/relatoria/?q=Sentencia%20T-325%20de%202025"/>
    <hyperlink ref="E45" r:id="rId40" display="https://www.corteconstitucional.gov.co/relatoria/?q=Sentencia%20T-429%20de%202011"/>
    <hyperlink ref="E46" r:id="rId41" display="https://www.corteconstitucional.gov.co/relatoria/?q=Sentencia%20T-445%20de%202024"/>
    <hyperlink ref="E47" r:id="rId42" display="https://www.corteconstitucional.gov.co/relatoria/?q=Sentencia%20T-925%20de%202014"/>
    <hyperlink ref="E48" r:id="rId43" display="https://www.corteconstitucional.gov.co/relatoria/?q=Sentencia%20T-970%20de%202014"/>
    <hyperlink ref="E50" r:id="rId44" display="http://www.secretariasenado.gov.co/senado/basedoc/decreto_2591_1991.html"/>
    <hyperlink ref="E51" r:id="rId45" display="http://www.secretariasenado.gov.co/senado/basedoc/ley_0270_1996.html"/>
    <hyperlink ref="E52" r:id="rId46" display="http://www.secretariasenado.gov.co/senado/basedoc/ley_0472_1998.html"/>
    <hyperlink ref="E54" r:id="rId47" display="https://www.suin-juriscol.gov.co/legislacion/?q=Decreto%20333%20de%202021"/>
    <hyperlink ref="E55" r:id="rId48" display="http://www.secretariasenado.gov.co/senado/basedoc/ley_0134_1994.html"/>
    <hyperlink ref="E56" r:id="rId49" display="http://www.secretariasenado.gov.co/senado/basedoc/ley_1712_2014.html"/>
    <hyperlink ref="E57" r:id="rId50" display="http://www.secretariasenado.gov.co/senado/basedoc/ley_1751_2015.html"/>
    <hyperlink ref="E58" r:id="rId51" display="http://www.secretariasenado.gov.co/senado/basedoc/ley_1757_2015.html"/>
    <hyperlink ref="E59" r:id="rId52" display="http://www.secretariasenado.gov.co/senado/basedoc/ley_0393_1997.html"/>
    <hyperlink ref="E60" r:id="rId53" display="http://www.secretariasenado.gov.co/senado/basedoc/ley_0005_1992.html"/>
    <hyperlink ref="E61" r:id="rId54" display="https://www.suin-juriscol.gov.co/legislacion/?q=Decreto%20306%20de%201992"/>
    <hyperlink ref="E63" r:id="rId55" display="https://www.corteconstitucional.gov.co/relatoria/?q=Sentencia%20C-468%20de%202024"/>
    <hyperlink ref="E64" r:id="rId56" display="https://www.corteconstitucional.gov.co/relatoria/?q=Sentencia%20SU-016%20de%202020"/>
    <hyperlink ref="E65" r:id="rId57" display="https://www.corteconstitucional.gov.co/relatoria/?q=Sentencia%20T-256%20de%202025"/>
    <hyperlink ref="E66" r:id="rId58" display="https://www.corteconstitucional.gov.co/relatoria/?q=Sentencia%20C-093%20de%202001"/>
    <hyperlink ref="E67" r:id="rId59" display="https://www.corteconstitucional.gov.co/relatoria/?q=Sentencia%20C-141%20de%202010"/>
    <hyperlink ref="E68" r:id="rId60" display="https://www.corteconstitucional.gov.co/relatoria/?q=Sentencia%20C-551%20de%202003"/>
    <hyperlink ref="E69" r:id="rId61" display="https://www.corteconstitucional.gov.co/relatoria/?q=Sentencia%20C-590%20de%202005"/>
    <hyperlink ref="E70" r:id="rId62" display="https://www.corteconstitucional.gov.co/relatoria/?q=Sentencia%20C-836%20de%202001"/>
    <hyperlink ref="E71" r:id="rId63" display="https://www.corteconstitucional.gov.co/relatoria/?q=Sentencia%20SU-047%20de%201999"/>
    <hyperlink ref="E72" r:id="rId64" display="https://www.corteconstitucional.gov.co/relatoria/?q=Sentencia%20T-025%20de%202004"/>
    <hyperlink ref="E73" r:id="rId65" display="https://www.corteconstitucional.gov.co/relatoria/?q=Sentencia%20T-406%20de%201992"/>
    <hyperlink ref="E74" r:id="rId66" display="https://www.corteconstitucional.gov.co/relatoria/?q=Sentencia%20T-881%20de%20200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316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317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15" hidden="false" customHeight="false" outlineLevel="0" collapsed="false">
      <c r="A7" s="13" t="s">
        <v>318</v>
      </c>
      <c r="B7" s="14" t="s">
        <v>319</v>
      </c>
      <c r="C7" s="13" t="s">
        <v>74</v>
      </c>
      <c r="D7" s="13" t="s">
        <v>75</v>
      </c>
      <c r="E7" s="15" t="s">
        <v>320</v>
      </c>
      <c r="F7" s="13" t="s">
        <v>58</v>
      </c>
      <c r="G7" s="13" t="s">
        <v>59</v>
      </c>
      <c r="H7" s="14" t="s">
        <v>321</v>
      </c>
    </row>
    <row r="8" customFormat="false" ht="15" hidden="false" customHeight="false" outlineLevel="0" collapsed="false">
      <c r="A8" s="13" t="s">
        <v>72</v>
      </c>
      <c r="B8" s="14" t="s">
        <v>73</v>
      </c>
      <c r="C8" s="13" t="s">
        <v>74</v>
      </c>
      <c r="D8" s="13" t="s">
        <v>75</v>
      </c>
      <c r="E8" s="15" t="s">
        <v>76</v>
      </c>
      <c r="F8" s="13" t="s">
        <v>58</v>
      </c>
      <c r="G8" s="13" t="s">
        <v>59</v>
      </c>
      <c r="H8" s="14" t="s">
        <v>77</v>
      </c>
    </row>
    <row r="9" customFormat="false" ht="15" hidden="false" customHeight="false" outlineLevel="0" collapsed="false">
      <c r="A9" s="13" t="s">
        <v>322</v>
      </c>
      <c r="B9" s="14" t="s">
        <v>323</v>
      </c>
      <c r="C9" s="13" t="s">
        <v>74</v>
      </c>
      <c r="D9" s="13" t="s">
        <v>75</v>
      </c>
      <c r="E9" s="15" t="s">
        <v>324</v>
      </c>
      <c r="F9" s="13" t="s">
        <v>58</v>
      </c>
      <c r="G9" s="13" t="s">
        <v>59</v>
      </c>
      <c r="H9" s="14" t="s">
        <v>325</v>
      </c>
    </row>
    <row r="10" customFormat="false" ht="23.85" hidden="false" customHeight="false" outlineLevel="0" collapsed="false">
      <c r="A10" s="13" t="s">
        <v>326</v>
      </c>
      <c r="B10" s="14" t="s">
        <v>327</v>
      </c>
      <c r="C10" s="13" t="s">
        <v>80</v>
      </c>
      <c r="D10" s="13" t="s">
        <v>75</v>
      </c>
      <c r="E10" s="15" t="s">
        <v>328</v>
      </c>
      <c r="F10" s="13" t="s">
        <v>58</v>
      </c>
      <c r="G10" s="13" t="s">
        <v>59</v>
      </c>
      <c r="H10" s="14" t="s">
        <v>141</v>
      </c>
    </row>
    <row r="11" customFormat="false" ht="15" hidden="false" customHeight="false" outlineLevel="0" collapsed="false">
      <c r="A11" s="13" t="s">
        <v>329</v>
      </c>
      <c r="B11" s="14" t="s">
        <v>330</v>
      </c>
      <c r="C11" s="13" t="s">
        <v>74</v>
      </c>
      <c r="D11" s="13" t="s">
        <v>75</v>
      </c>
      <c r="E11" s="15" t="s">
        <v>331</v>
      </c>
      <c r="F11" s="13" t="s">
        <v>58</v>
      </c>
      <c r="G11" s="13" t="s">
        <v>59</v>
      </c>
      <c r="H11" s="14" t="s">
        <v>141</v>
      </c>
    </row>
    <row r="12" customFormat="false" ht="23.85" hidden="false" customHeight="false" outlineLevel="0" collapsed="false">
      <c r="A12" s="13" t="s">
        <v>332</v>
      </c>
      <c r="B12" s="14" t="s">
        <v>333</v>
      </c>
      <c r="C12" s="13" t="s">
        <v>63</v>
      </c>
      <c r="D12" s="13" t="s">
        <v>56</v>
      </c>
      <c r="E12" s="15" t="s">
        <v>334</v>
      </c>
      <c r="F12" s="13" t="s">
        <v>58</v>
      </c>
      <c r="G12" s="13" t="s">
        <v>59</v>
      </c>
      <c r="H12" s="14" t="s">
        <v>335</v>
      </c>
    </row>
    <row r="13" customFormat="false" ht="15" hidden="false" customHeight="false" outlineLevel="0" collapsed="false">
      <c r="A13" s="13" t="s">
        <v>336</v>
      </c>
      <c r="B13" s="14" t="s">
        <v>337</v>
      </c>
      <c r="C13" s="13" t="s">
        <v>68</v>
      </c>
      <c r="D13" s="13" t="s">
        <v>69</v>
      </c>
      <c r="E13" s="15" t="s">
        <v>338</v>
      </c>
      <c r="F13" s="13" t="s">
        <v>58</v>
      </c>
      <c r="G13" s="13" t="s">
        <v>90</v>
      </c>
      <c r="H13" s="14" t="s">
        <v>91</v>
      </c>
    </row>
    <row r="14" customFormat="false" ht="23.85" hidden="false" customHeight="false" outlineLevel="0" collapsed="false">
      <c r="A14" s="13" t="s">
        <v>99</v>
      </c>
      <c r="B14" s="14" t="s">
        <v>100</v>
      </c>
      <c r="C14" s="13" t="s">
        <v>68</v>
      </c>
      <c r="D14" s="13" t="s">
        <v>69</v>
      </c>
      <c r="E14" s="15" t="s">
        <v>101</v>
      </c>
      <c r="F14" s="13" t="s">
        <v>58</v>
      </c>
      <c r="G14" s="13" t="s">
        <v>90</v>
      </c>
      <c r="H14" s="14" t="s">
        <v>95</v>
      </c>
    </row>
    <row r="15" customFormat="false" ht="15" hidden="false" customHeight="false" outlineLevel="0" collapsed="false">
      <c r="A15" s="13" t="s">
        <v>339</v>
      </c>
      <c r="B15" s="14" t="s">
        <v>340</v>
      </c>
      <c r="C15" s="13" t="s">
        <v>68</v>
      </c>
      <c r="D15" s="13" t="s">
        <v>69</v>
      </c>
      <c r="E15" s="15" t="s">
        <v>341</v>
      </c>
      <c r="F15" s="13" t="s">
        <v>58</v>
      </c>
      <c r="G15" s="13" t="s">
        <v>90</v>
      </c>
      <c r="H15" s="14" t="s">
        <v>105</v>
      </c>
    </row>
    <row r="16" customFormat="false" ht="15" hidden="false" customHeight="false" outlineLevel="0" collapsed="false">
      <c r="A16" s="13" t="s">
        <v>342</v>
      </c>
      <c r="B16" s="14" t="s">
        <v>343</v>
      </c>
      <c r="C16" s="13" t="s">
        <v>68</v>
      </c>
      <c r="D16" s="13" t="s">
        <v>69</v>
      </c>
      <c r="E16" s="15" t="s">
        <v>344</v>
      </c>
      <c r="F16" s="13" t="s">
        <v>58</v>
      </c>
      <c r="G16" s="13" t="s">
        <v>90</v>
      </c>
      <c r="H16" s="14" t="s">
        <v>141</v>
      </c>
    </row>
    <row r="17" customFormat="false" ht="15" hidden="false" customHeight="false" outlineLevel="0" collapsed="false">
      <c r="A17" s="13" t="s">
        <v>345</v>
      </c>
      <c r="B17" s="14" t="s">
        <v>346</v>
      </c>
      <c r="C17" s="13" t="s">
        <v>68</v>
      </c>
      <c r="D17" s="13" t="s">
        <v>69</v>
      </c>
      <c r="E17" s="15" t="s">
        <v>347</v>
      </c>
      <c r="F17" s="13" t="s">
        <v>58</v>
      </c>
      <c r="G17" s="13" t="s">
        <v>90</v>
      </c>
      <c r="H17" s="14" t="s">
        <v>141</v>
      </c>
    </row>
    <row r="18" customFormat="false" ht="15" hidden="false" customHeight="false" outlineLevel="0" collapsed="false">
      <c r="A18" s="13" t="s">
        <v>348</v>
      </c>
      <c r="B18" s="14" t="s">
        <v>349</v>
      </c>
      <c r="C18" s="13" t="s">
        <v>68</v>
      </c>
      <c r="D18" s="13" t="s">
        <v>69</v>
      </c>
      <c r="E18" s="15" t="s">
        <v>350</v>
      </c>
      <c r="F18" s="13" t="s">
        <v>58</v>
      </c>
      <c r="G18" s="13" t="s">
        <v>90</v>
      </c>
      <c r="H18" s="14" t="s">
        <v>141</v>
      </c>
    </row>
    <row r="19" customFormat="false" ht="15" hidden="false" customHeight="false" outlineLevel="0" collapsed="false">
      <c r="A19" s="13" t="s">
        <v>351</v>
      </c>
      <c r="B19" s="14" t="s">
        <v>352</v>
      </c>
      <c r="C19" s="13" t="s">
        <v>68</v>
      </c>
      <c r="D19" s="13" t="s">
        <v>69</v>
      </c>
      <c r="E19" s="15" t="s">
        <v>353</v>
      </c>
      <c r="F19" s="13" t="s">
        <v>58</v>
      </c>
      <c r="G19" s="13" t="s">
        <v>90</v>
      </c>
      <c r="H19" s="14" t="s">
        <v>141</v>
      </c>
    </row>
    <row r="20" customFormat="false" ht="15" hidden="false" customHeight="false" outlineLevel="0" collapsed="false">
      <c r="A20" s="13" t="s">
        <v>354</v>
      </c>
      <c r="B20" s="14" t="s">
        <v>355</v>
      </c>
      <c r="C20" s="13" t="s">
        <v>74</v>
      </c>
      <c r="D20" s="13" t="s">
        <v>75</v>
      </c>
      <c r="E20" s="15" t="s">
        <v>356</v>
      </c>
      <c r="F20" s="13" t="s">
        <v>145</v>
      </c>
      <c r="G20" s="13" t="s">
        <v>140</v>
      </c>
      <c r="H20" s="14" t="s">
        <v>357</v>
      </c>
    </row>
    <row r="21" customFormat="false" ht="15" hidden="false" customHeight="false" outlineLevel="0" collapsed="false">
      <c r="A21" s="13" t="s">
        <v>358</v>
      </c>
      <c r="B21" s="14" t="s">
        <v>359</v>
      </c>
      <c r="C21" s="13" t="s">
        <v>74</v>
      </c>
      <c r="D21" s="13" t="s">
        <v>75</v>
      </c>
      <c r="E21" s="15" t="s">
        <v>360</v>
      </c>
      <c r="F21" s="13" t="s">
        <v>58</v>
      </c>
      <c r="G21" s="13" t="s">
        <v>140</v>
      </c>
      <c r="H21" s="14" t="s">
        <v>141</v>
      </c>
    </row>
    <row r="22" customFormat="false" ht="15" hidden="false" customHeight="false" outlineLevel="0" collapsed="false">
      <c r="A22" s="13" t="s">
        <v>361</v>
      </c>
      <c r="B22" s="14" t="s">
        <v>362</v>
      </c>
      <c r="C22" s="13" t="s">
        <v>74</v>
      </c>
      <c r="D22" s="13" t="s">
        <v>75</v>
      </c>
      <c r="E22" s="15" t="s">
        <v>363</v>
      </c>
      <c r="F22" s="13" t="s">
        <v>58</v>
      </c>
      <c r="G22" s="13" t="s">
        <v>140</v>
      </c>
      <c r="H22" s="14" t="s">
        <v>141</v>
      </c>
    </row>
    <row r="23" customFormat="false" ht="23.85" hidden="false" customHeight="false" outlineLevel="0" collapsed="false">
      <c r="A23" s="13" t="s">
        <v>364</v>
      </c>
      <c r="B23" s="14" t="s">
        <v>365</v>
      </c>
      <c r="C23" s="13" t="s">
        <v>68</v>
      </c>
      <c r="D23" s="13" t="s">
        <v>69</v>
      </c>
      <c r="E23" s="15" t="s">
        <v>366</v>
      </c>
      <c r="F23" s="13" t="s">
        <v>145</v>
      </c>
      <c r="G23" s="13" t="s">
        <v>140</v>
      </c>
      <c r="H23" s="14" t="s">
        <v>367</v>
      </c>
    </row>
    <row r="24" customFormat="false" ht="15" hidden="false" customHeight="false" outlineLevel="0" collapsed="false">
      <c r="A24" s="11" t="s">
        <v>208</v>
      </c>
      <c r="B24" s="12"/>
      <c r="C24" s="12"/>
      <c r="D24" s="12"/>
      <c r="E24" s="12"/>
      <c r="F24" s="12"/>
      <c r="G24" s="12"/>
      <c r="H24" s="12"/>
    </row>
    <row r="25" customFormat="false" ht="23.85" hidden="false" customHeight="false" outlineLevel="0" collapsed="false">
      <c r="A25" s="13" t="s">
        <v>368</v>
      </c>
      <c r="B25" s="14" t="s">
        <v>369</v>
      </c>
      <c r="C25" s="13" t="s">
        <v>74</v>
      </c>
      <c r="D25" s="13" t="s">
        <v>56</v>
      </c>
      <c r="E25" s="15" t="s">
        <v>370</v>
      </c>
      <c r="F25" s="13" t="s">
        <v>212</v>
      </c>
      <c r="G25" s="13" t="s">
        <v>59</v>
      </c>
      <c r="H25" s="14" t="s">
        <v>371</v>
      </c>
    </row>
    <row r="26" customFormat="false" ht="15" hidden="false" customHeight="false" outlineLevel="0" collapsed="false">
      <c r="A26" s="13" t="s">
        <v>218</v>
      </c>
      <c r="B26" s="14" t="s">
        <v>219</v>
      </c>
      <c r="C26" s="13" t="s">
        <v>74</v>
      </c>
      <c r="D26" s="13" t="s">
        <v>56</v>
      </c>
      <c r="E26" s="15" t="s">
        <v>220</v>
      </c>
      <c r="F26" s="13" t="s">
        <v>212</v>
      </c>
      <c r="G26" s="13" t="s">
        <v>59</v>
      </c>
      <c r="H26" s="14" t="s">
        <v>372</v>
      </c>
    </row>
    <row r="27" customFormat="false" ht="23.85" hidden="false" customHeight="false" outlineLevel="0" collapsed="false">
      <c r="A27" s="13" t="s">
        <v>373</v>
      </c>
      <c r="B27" s="14" t="s">
        <v>374</v>
      </c>
      <c r="C27" s="13" t="s">
        <v>74</v>
      </c>
      <c r="D27" s="13" t="s">
        <v>56</v>
      </c>
      <c r="E27" s="15" t="s">
        <v>375</v>
      </c>
      <c r="F27" s="13" t="s">
        <v>212</v>
      </c>
      <c r="G27" s="13" t="s">
        <v>59</v>
      </c>
      <c r="H27" s="14" t="s">
        <v>376</v>
      </c>
    </row>
    <row r="28" customFormat="false" ht="15" hidden="false" customHeight="false" outlineLevel="0" collapsed="false">
      <c r="A28" s="11" t="s">
        <v>377</v>
      </c>
      <c r="B28" s="12"/>
      <c r="C28" s="12"/>
      <c r="D28" s="12"/>
      <c r="E28" s="12"/>
      <c r="F28" s="12"/>
      <c r="G28" s="12"/>
      <c r="H28" s="12"/>
    </row>
    <row r="29" customFormat="false" ht="23.85" hidden="false" customHeight="false" outlineLevel="0" collapsed="false">
      <c r="A29" s="13" t="s">
        <v>378</v>
      </c>
      <c r="B29" s="14" t="s">
        <v>379</v>
      </c>
      <c r="C29" s="13" t="s">
        <v>80</v>
      </c>
      <c r="D29" s="13" t="s">
        <v>75</v>
      </c>
      <c r="E29" s="15" t="s">
        <v>380</v>
      </c>
      <c r="F29" s="13" t="s">
        <v>212</v>
      </c>
      <c r="G29" s="13" t="s">
        <v>90</v>
      </c>
      <c r="H29" s="14" t="s">
        <v>381</v>
      </c>
    </row>
    <row r="30" customFormat="false" ht="15" hidden="false" customHeight="false" outlineLevel="0" collapsed="false">
      <c r="A30" s="13" t="s">
        <v>382</v>
      </c>
      <c r="B30" s="14" t="s">
        <v>383</v>
      </c>
      <c r="C30" s="13" t="s">
        <v>74</v>
      </c>
      <c r="D30" s="13" t="s">
        <v>56</v>
      </c>
      <c r="E30" s="15" t="s">
        <v>384</v>
      </c>
      <c r="F30" s="13" t="s">
        <v>212</v>
      </c>
      <c r="G30" s="13" t="s">
        <v>90</v>
      </c>
      <c r="H30" s="14" t="s">
        <v>385</v>
      </c>
    </row>
    <row r="31" customFormat="false" ht="15" hidden="false" customHeight="false" outlineLevel="0" collapsed="false">
      <c r="A31" s="13" t="s">
        <v>386</v>
      </c>
      <c r="B31" s="14" t="s">
        <v>387</v>
      </c>
      <c r="C31" s="13" t="s">
        <v>74</v>
      </c>
      <c r="D31" s="13" t="s">
        <v>56</v>
      </c>
      <c r="E31" s="15" t="s">
        <v>388</v>
      </c>
      <c r="F31" s="13" t="s">
        <v>212</v>
      </c>
      <c r="G31" s="13" t="s">
        <v>90</v>
      </c>
      <c r="H31" s="14" t="s">
        <v>389</v>
      </c>
    </row>
    <row r="32" customFormat="false" ht="15" hidden="false" customHeight="false" outlineLevel="0" collapsed="false">
      <c r="A32" s="13" t="s">
        <v>390</v>
      </c>
      <c r="B32" s="14" t="s">
        <v>391</v>
      </c>
      <c r="C32" s="13" t="s">
        <v>74</v>
      </c>
      <c r="D32" s="13" t="s">
        <v>56</v>
      </c>
      <c r="E32" s="15" t="s">
        <v>392</v>
      </c>
      <c r="F32" s="13" t="s">
        <v>212</v>
      </c>
      <c r="G32" s="13" t="s">
        <v>90</v>
      </c>
      <c r="H32" s="14" t="s">
        <v>393</v>
      </c>
    </row>
    <row r="33" customFormat="false" ht="15" hidden="false" customHeight="false" outlineLevel="0" collapsed="false">
      <c r="A33" s="13" t="s">
        <v>394</v>
      </c>
      <c r="B33" s="14" t="s">
        <v>395</v>
      </c>
      <c r="C33" s="13" t="s">
        <v>74</v>
      </c>
      <c r="D33" s="13" t="s">
        <v>56</v>
      </c>
      <c r="E33" s="15" t="s">
        <v>396</v>
      </c>
      <c r="F33" s="13" t="s">
        <v>212</v>
      </c>
      <c r="G33" s="13" t="s">
        <v>90</v>
      </c>
      <c r="H33" s="14" t="s">
        <v>397</v>
      </c>
    </row>
    <row r="34" customFormat="false" ht="15" hidden="false" customHeight="false" outlineLevel="0" collapsed="false">
      <c r="A34" s="13" t="s">
        <v>398</v>
      </c>
      <c r="B34" s="14" t="s">
        <v>399</v>
      </c>
      <c r="C34" s="13" t="s">
        <v>74</v>
      </c>
      <c r="D34" s="13" t="s">
        <v>56</v>
      </c>
      <c r="E34" s="15" t="s">
        <v>400</v>
      </c>
      <c r="F34" s="13" t="s">
        <v>212</v>
      </c>
      <c r="G34" s="13" t="s">
        <v>90</v>
      </c>
      <c r="H34" s="14" t="s">
        <v>401</v>
      </c>
    </row>
    <row r="35" customFormat="false" ht="15" hidden="false" customHeight="false" outlineLevel="0" collapsed="false">
      <c r="A35" s="13" t="s">
        <v>402</v>
      </c>
      <c r="B35" s="14" t="s">
        <v>403</v>
      </c>
      <c r="C35" s="13" t="s">
        <v>74</v>
      </c>
      <c r="D35" s="13" t="s">
        <v>56</v>
      </c>
      <c r="E35" s="15" t="s">
        <v>404</v>
      </c>
      <c r="F35" s="13" t="s">
        <v>212</v>
      </c>
      <c r="G35" s="13" t="s">
        <v>90</v>
      </c>
      <c r="H35" s="14" t="s">
        <v>405</v>
      </c>
    </row>
    <row r="36" customFormat="false" ht="15" hidden="false" customHeight="false" outlineLevel="0" collapsed="false">
      <c r="A36" s="13" t="s">
        <v>406</v>
      </c>
      <c r="B36" s="14" t="s">
        <v>407</v>
      </c>
      <c r="C36" s="13" t="s">
        <v>74</v>
      </c>
      <c r="D36" s="13" t="s">
        <v>56</v>
      </c>
      <c r="E36" s="15" t="s">
        <v>408</v>
      </c>
      <c r="F36" s="13" t="s">
        <v>212</v>
      </c>
      <c r="G36" s="13" t="s">
        <v>90</v>
      </c>
      <c r="H36" s="14" t="s">
        <v>409</v>
      </c>
    </row>
    <row r="37" customFormat="false" ht="23.85" hidden="false" customHeight="false" outlineLevel="0" collapsed="false">
      <c r="A37" s="13" t="s">
        <v>410</v>
      </c>
      <c r="B37" s="14" t="s">
        <v>411</v>
      </c>
      <c r="C37" s="13" t="s">
        <v>412</v>
      </c>
      <c r="D37" s="13" t="s">
        <v>75</v>
      </c>
      <c r="E37" s="15" t="s">
        <v>413</v>
      </c>
      <c r="F37" s="13" t="s">
        <v>271</v>
      </c>
      <c r="G37" s="13" t="s">
        <v>90</v>
      </c>
      <c r="H37" s="14" t="s">
        <v>414</v>
      </c>
    </row>
    <row r="38" customFormat="false" ht="15" hidden="false" customHeight="false" outlineLevel="0" collapsed="false">
      <c r="A38" s="13" t="s">
        <v>415</v>
      </c>
      <c r="B38" s="14" t="s">
        <v>416</v>
      </c>
      <c r="C38" s="13" t="s">
        <v>80</v>
      </c>
      <c r="D38" s="13" t="s">
        <v>75</v>
      </c>
      <c r="E38" s="15" t="s">
        <v>417</v>
      </c>
      <c r="F38" s="13" t="s">
        <v>212</v>
      </c>
      <c r="G38" s="13" t="s">
        <v>140</v>
      </c>
      <c r="H38" s="14" t="s">
        <v>418</v>
      </c>
    </row>
    <row r="39" customFormat="false" ht="15" hidden="false" customHeight="false" outlineLevel="0" collapsed="false">
      <c r="A39" s="13" t="s">
        <v>419</v>
      </c>
      <c r="B39" s="14" t="s">
        <v>420</v>
      </c>
      <c r="C39" s="13" t="s">
        <v>74</v>
      </c>
      <c r="D39" s="13" t="s">
        <v>56</v>
      </c>
      <c r="E39" s="15" t="s">
        <v>421</v>
      </c>
      <c r="F39" s="13" t="s">
        <v>212</v>
      </c>
      <c r="G39" s="13" t="s">
        <v>140</v>
      </c>
      <c r="H39" s="14" t="s">
        <v>422</v>
      </c>
    </row>
    <row r="40" customFormat="false" ht="23.85" hidden="false" customHeight="false" outlineLevel="0" collapsed="false">
      <c r="A40" s="13" t="s">
        <v>423</v>
      </c>
      <c r="B40" s="14" t="s">
        <v>424</v>
      </c>
      <c r="C40" s="13" t="s">
        <v>74</v>
      </c>
      <c r="D40" s="13" t="s">
        <v>56</v>
      </c>
      <c r="E40" s="15" t="s">
        <v>425</v>
      </c>
      <c r="F40" s="13" t="s">
        <v>212</v>
      </c>
      <c r="G40" s="13" t="s">
        <v>140</v>
      </c>
      <c r="H40" s="14" t="s">
        <v>426</v>
      </c>
    </row>
    <row r="41" customFormat="false" ht="15" hidden="false" customHeight="false" outlineLevel="0" collapsed="false">
      <c r="A41" s="13" t="s">
        <v>427</v>
      </c>
      <c r="B41" s="14" t="s">
        <v>428</v>
      </c>
      <c r="C41" s="13" t="s">
        <v>74</v>
      </c>
      <c r="D41" s="13" t="s">
        <v>56</v>
      </c>
      <c r="E41" s="15" t="s">
        <v>429</v>
      </c>
      <c r="F41" s="13" t="s">
        <v>212</v>
      </c>
      <c r="G41" s="13" t="s">
        <v>140</v>
      </c>
      <c r="H41" s="14" t="s">
        <v>430</v>
      </c>
    </row>
    <row r="42" customFormat="false" ht="15" hidden="false" customHeight="false" outlineLevel="0" collapsed="false">
      <c r="A42" s="11" t="s">
        <v>431</v>
      </c>
      <c r="B42" s="12"/>
      <c r="C42" s="12"/>
      <c r="D42" s="12"/>
      <c r="E42" s="12"/>
      <c r="F42" s="12"/>
      <c r="G42" s="12"/>
      <c r="H42" s="12"/>
    </row>
    <row r="43" customFormat="false" ht="15" hidden="false" customHeight="false" outlineLevel="0" collapsed="false">
      <c r="A43" s="13" t="s">
        <v>432</v>
      </c>
      <c r="B43" s="14" t="s">
        <v>433</v>
      </c>
      <c r="C43" s="13" t="s">
        <v>68</v>
      </c>
      <c r="D43" s="13" t="s">
        <v>69</v>
      </c>
      <c r="E43" s="15" t="s">
        <v>434</v>
      </c>
      <c r="F43" s="13" t="s">
        <v>212</v>
      </c>
      <c r="G43" s="13" t="s">
        <v>59</v>
      </c>
      <c r="H43" s="14" t="s">
        <v>435</v>
      </c>
    </row>
    <row r="44" customFormat="false" ht="23.85" hidden="false" customHeight="false" outlineLevel="0" collapsed="false">
      <c r="A44" s="13" t="s">
        <v>436</v>
      </c>
      <c r="B44" s="14" t="s">
        <v>437</v>
      </c>
      <c r="C44" s="13" t="s">
        <v>68</v>
      </c>
      <c r="D44" s="13" t="s">
        <v>438</v>
      </c>
      <c r="E44" s="15" t="s">
        <v>439</v>
      </c>
      <c r="F44" s="13" t="s">
        <v>271</v>
      </c>
      <c r="G44" s="13" t="s">
        <v>90</v>
      </c>
      <c r="H44" s="14" t="s">
        <v>440</v>
      </c>
    </row>
    <row r="45" customFormat="false" ht="23.85" hidden="false" customHeight="false" outlineLevel="0" collapsed="false">
      <c r="A45" s="13" t="s">
        <v>441</v>
      </c>
      <c r="B45" s="14" t="s">
        <v>442</v>
      </c>
      <c r="C45" s="13" t="s">
        <v>68</v>
      </c>
      <c r="D45" s="13" t="s">
        <v>69</v>
      </c>
      <c r="E45" s="15" t="s">
        <v>443</v>
      </c>
      <c r="F45" s="13" t="s">
        <v>212</v>
      </c>
      <c r="G45" s="13" t="s">
        <v>90</v>
      </c>
      <c r="H45" s="14" t="s">
        <v>444</v>
      </c>
    </row>
    <row r="46" customFormat="false" ht="23.85" hidden="false" customHeight="false" outlineLevel="0" collapsed="false">
      <c r="A46" s="13" t="s">
        <v>445</v>
      </c>
      <c r="B46" s="14" t="s">
        <v>446</v>
      </c>
      <c r="C46" s="13" t="s">
        <v>68</v>
      </c>
      <c r="D46" s="13" t="s">
        <v>69</v>
      </c>
      <c r="E46" s="15" t="s">
        <v>447</v>
      </c>
      <c r="F46" s="13" t="s">
        <v>271</v>
      </c>
      <c r="G46" s="13" t="s">
        <v>90</v>
      </c>
      <c r="H46" s="14" t="s">
        <v>448</v>
      </c>
    </row>
    <row r="47" customFormat="false" ht="23.85" hidden="false" customHeight="false" outlineLevel="0" collapsed="false">
      <c r="A47" s="13" t="s">
        <v>449</v>
      </c>
      <c r="B47" s="14" t="s">
        <v>450</v>
      </c>
      <c r="C47" s="13" t="s">
        <v>68</v>
      </c>
      <c r="D47" s="13" t="s">
        <v>69</v>
      </c>
      <c r="E47" s="15" t="s">
        <v>451</v>
      </c>
      <c r="F47" s="13" t="s">
        <v>212</v>
      </c>
      <c r="G47" s="13" t="s">
        <v>90</v>
      </c>
      <c r="H47" s="14" t="s">
        <v>452</v>
      </c>
    </row>
    <row r="48" customFormat="false" ht="23.85" hidden="false" customHeight="false" outlineLevel="0" collapsed="false">
      <c r="A48" s="13" t="s">
        <v>453</v>
      </c>
      <c r="B48" s="14" t="s">
        <v>454</v>
      </c>
      <c r="C48" s="13" t="s">
        <v>68</v>
      </c>
      <c r="D48" s="13" t="s">
        <v>69</v>
      </c>
      <c r="E48" s="15" t="s">
        <v>455</v>
      </c>
      <c r="F48" s="13" t="s">
        <v>212</v>
      </c>
      <c r="G48" s="13" t="s">
        <v>90</v>
      </c>
      <c r="H48" s="14" t="s">
        <v>456</v>
      </c>
    </row>
    <row r="50" customFormat="false" ht="15" hidden="false" customHeight="false" outlineLevel="0" collapsed="false">
      <c r="A50" s="7" t="s">
        <v>304</v>
      </c>
    </row>
    <row r="51" customFormat="false" ht="26.85" hidden="false" customHeight="false" outlineLevel="0" collapsed="false">
      <c r="A51" s="3" t="s">
        <v>305</v>
      </c>
      <c r="B51" s="3" t="s">
        <v>306</v>
      </c>
      <c r="C51" s="3" t="s">
        <v>307</v>
      </c>
      <c r="D51" s="3" t="s">
        <v>308</v>
      </c>
    </row>
    <row r="52" customFormat="false" ht="15" hidden="false" customHeight="false" outlineLevel="0" collapsed="false">
      <c r="A52" s="14" t="n">
        <v>748</v>
      </c>
      <c r="B52" s="14" t="s">
        <v>457</v>
      </c>
      <c r="C52" s="14" t="s">
        <v>457</v>
      </c>
      <c r="D52" s="14" t="s">
        <v>368</v>
      </c>
    </row>
    <row r="53" customFormat="false" ht="15" hidden="false" customHeight="false" outlineLevel="0" collapsed="false">
      <c r="A53" s="14" t="n">
        <v>247</v>
      </c>
      <c r="B53" s="14" t="s">
        <v>458</v>
      </c>
      <c r="C53" s="14" t="s">
        <v>310</v>
      </c>
      <c r="D53" s="14" t="s">
        <v>218</v>
      </c>
    </row>
    <row r="54" customFormat="false" ht="23.85" hidden="false" customHeight="false" outlineLevel="0" collapsed="false">
      <c r="A54" s="14" t="n">
        <v>563</v>
      </c>
      <c r="B54" s="14" t="s">
        <v>459</v>
      </c>
      <c r="C54" s="14" t="s">
        <v>460</v>
      </c>
      <c r="D54" s="14" t="s">
        <v>432</v>
      </c>
    </row>
    <row r="55" customFormat="false" ht="68.65" hidden="false" customHeight="false" outlineLevel="0" collapsed="false">
      <c r="A55" s="14" t="n">
        <v>857</v>
      </c>
      <c r="B55" s="14" t="s">
        <v>461</v>
      </c>
      <c r="C55" s="14" t="s">
        <v>462</v>
      </c>
      <c r="D55" s="14" t="s">
        <v>463</v>
      </c>
    </row>
  </sheetData>
  <hyperlinks>
    <hyperlink ref="E6" r:id="rId1" display="http://www.secretariasenado.gov.co/senado/basedoc/constitucion_politica_1991.html?q=Constitucion"/>
    <hyperlink ref="E7" r:id="rId2" display="https://www.suin-juriscol.gov.co/legislacion/?q=Ley%2080%20de%201993"/>
    <hyperlink ref="E8" r:id="rId3" display="https://www.suin-juriscol.gov.co/legislacion/?q=Ley%201581%20de%202012"/>
    <hyperlink ref="E9" r:id="rId4" display="https://www.suin-juriscol.gov.co/legislacion/?q=Ley%201150%20de%202007"/>
    <hyperlink ref="E10" r:id="rId5" display="https://www.suin-juriscol.gov.co/legislacion/?q=Decreto%201082%20de%202015"/>
    <hyperlink ref="E11" r:id="rId6" display="https://www.suin-juriscol.gov.co/legislacion/?q=Ley%201755%20de%202015"/>
    <hyperlink ref="E12" r:id="rId7" display="http://www.secretariasenado.gov.co/senado/basedoc/?q=Codigo%20disciplinario"/>
    <hyperlink ref="E13" r:id="rId8" display="https://www.corteconstitucional.gov.co/relatoria/?q=Sentencia%20C-207%20de%202019"/>
    <hyperlink ref="E14" r:id="rId9" display="https://www.corteconstitucional.gov.co/relatoria/?q=Sentencia%20T-760%20de%202008"/>
    <hyperlink ref="E15" r:id="rId10" display="https://www.corteconstitucional.gov.co/relatoria/?q=Sentencia%20C-259%20de%202015"/>
    <hyperlink ref="E16" r:id="rId11" display="https://www.corteconstitucional.gov.co/relatoria/?q=Sentencia%20SU-11%20de%202020"/>
    <hyperlink ref="E17" r:id="rId12" display="https://www.corteconstitucional.gov.co/relatoria/?q=Sentencia%20SU-240%20de%202015"/>
    <hyperlink ref="E18" r:id="rId13" display="https://www.corteconstitucional.gov.co/relatoria/?q=Sentencia%20SU-488%20de%202011"/>
    <hyperlink ref="E19" r:id="rId14" display="https://www.corteconstitucional.gov.co/relatoria/?q=Sentencia%20SU-566%20de%202015"/>
    <hyperlink ref="E20" r:id="rId15" display="https://www.suin-juriscol.gov.co/legislacion/?q=Ley%201150%20de%202005"/>
    <hyperlink ref="E21" r:id="rId16" display="https://www.suin-juriscol.gov.co/legislacion/?q=Ley%201151%20de%202007"/>
    <hyperlink ref="E22" r:id="rId17" display="https://www.suin-juriscol.gov.co/legislacion/?q=Ley%202160%20de%202021"/>
    <hyperlink ref="E23" r:id="rId18" display="https://www.corteconstitucional.gov.co/relatoria/?q=Sentencia%20SU-6%20de%201991"/>
    <hyperlink ref="E25" r:id="rId19" display="http://www.secretariasenado.gov.co/senado/basedoc/ley_1437_2011.html"/>
    <hyperlink ref="E26" r:id="rId20" display="http://www.secretariasenado.gov.co/senado/basedoc/ley_0472_1998.html"/>
    <hyperlink ref="E27" r:id="rId21" display="http://www.secretariasenado.gov.co/senado/basedoc/ley_0489_1998.html"/>
    <hyperlink ref="E29" r:id="rId22" display="https://www.suin-juriscol.gov.co/legislacion/?q=Decreto%201083%20de%202015"/>
    <hyperlink ref="E30" r:id="rId23" display="http://www.secretariasenado.gov.co/senado/basedoc/ley_0136_1994.html"/>
    <hyperlink ref="E31" r:id="rId24" display="http://www.secretariasenado.gov.co/senado/basedoc/ley_1474_2011.html"/>
    <hyperlink ref="E32" r:id="rId25" display="http://www.secretariasenado.gov.co/senado/basedoc/ley_1882_2018.html"/>
    <hyperlink ref="E33" r:id="rId26" display="http://www.secretariasenado.gov.co/senado/basedoc/ley_2080_2021.html"/>
    <hyperlink ref="E34" r:id="rId27" display="http://www.secretariasenado.gov.co/senado/basedoc/ley_2094_2021.html"/>
    <hyperlink ref="E35" r:id="rId28" display="http://www.secretariasenado.gov.co/senado/basedoc/ley_0610_2000.html"/>
    <hyperlink ref="E36" r:id="rId29" display="http://www.secretariasenado.gov.co/senado/basedoc/ley_0909_2004.html"/>
    <hyperlink ref="E37" r:id="rId30" display="https://www.suin-juriscol.gov.co/legislacion/?q=Resoluci%C3%B3n%20368%20de%202014"/>
    <hyperlink ref="E38" r:id="rId31" display="https://www.suin-juriscol.gov.co/legislacion/?q=Decreto%2019%20de%202012"/>
    <hyperlink ref="E39" r:id="rId32" display="http://www.secretariasenado.gov.co/senado/basedoc/ley_1551_2012.html"/>
    <hyperlink ref="E40" r:id="rId33" display="http://www.secretariasenado.gov.co/senado/basedoc/ley_2195_2022.html"/>
    <hyperlink ref="E41" r:id="rId34" display="http://www.secretariasenado.gov.co/senado/basedoc/ley_0042_1993.html"/>
    <hyperlink ref="E43" r:id="rId35" display="https://www.corteconstitucional.gov.co/relatoria/?q=Sentencia%20SU-277%20de%202025"/>
    <hyperlink ref="E44" r:id="rId36" display="https://www.consejodeestado.gov.co"/>
    <hyperlink ref="E45" r:id="rId37" display="https://www.corteconstitucional.gov.co/relatoria/?q=Sentencia%20C-634%20de%202011"/>
    <hyperlink ref="E46" r:id="rId38" display="https://www.corteconstitucional.gov.co/relatoria/?q=Sentencia%20C-816%20de%202011"/>
    <hyperlink ref="E47" r:id="rId39" display="https://www.corteconstitucional.gov.co/relatoria/?q=Sentencia%20C-818%20de%202011"/>
    <hyperlink ref="E48" r:id="rId40" display="https://www.corteconstitucional.gov.co/relatoria/?q=Sentencia%20C-951%20de%2020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464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317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23.85" hidden="false" customHeight="false" outlineLevel="0" collapsed="false">
      <c r="A7" s="13" t="s">
        <v>465</v>
      </c>
      <c r="B7" s="14" t="s">
        <v>466</v>
      </c>
      <c r="C7" s="13" t="s">
        <v>63</v>
      </c>
      <c r="D7" s="13" t="s">
        <v>56</v>
      </c>
      <c r="E7" s="15" t="s">
        <v>467</v>
      </c>
      <c r="F7" s="13" t="s">
        <v>58</v>
      </c>
      <c r="G7" s="13" t="s">
        <v>59</v>
      </c>
      <c r="H7" s="14" t="s">
        <v>468</v>
      </c>
    </row>
    <row r="8" customFormat="false" ht="23.85" hidden="false" customHeight="false" outlineLevel="0" collapsed="false">
      <c r="A8" s="13" t="s">
        <v>66</v>
      </c>
      <c r="B8" s="14" t="s">
        <v>67</v>
      </c>
      <c r="C8" s="13" t="s">
        <v>68</v>
      </c>
      <c r="D8" s="13" t="s">
        <v>69</v>
      </c>
      <c r="E8" s="15" t="s">
        <v>70</v>
      </c>
      <c r="F8" s="13" t="s">
        <v>58</v>
      </c>
      <c r="G8" s="13" t="s">
        <v>59</v>
      </c>
      <c r="H8" s="14" t="s">
        <v>71</v>
      </c>
    </row>
    <row r="9" customFormat="false" ht="15" hidden="false" customHeight="false" outlineLevel="0" collapsed="false">
      <c r="A9" s="13" t="s">
        <v>92</v>
      </c>
      <c r="B9" s="14" t="s">
        <v>93</v>
      </c>
      <c r="C9" s="13" t="s">
        <v>68</v>
      </c>
      <c r="D9" s="13" t="s">
        <v>69</v>
      </c>
      <c r="E9" s="15" t="s">
        <v>94</v>
      </c>
      <c r="F9" s="13" t="s">
        <v>58</v>
      </c>
      <c r="G9" s="13" t="s">
        <v>90</v>
      </c>
      <c r="H9" s="14" t="s">
        <v>95</v>
      </c>
    </row>
    <row r="10" customFormat="false" ht="15" hidden="false" customHeight="false" outlineLevel="0" collapsed="false">
      <c r="A10" s="13" t="s">
        <v>102</v>
      </c>
      <c r="B10" s="14" t="s">
        <v>103</v>
      </c>
      <c r="C10" s="13" t="s">
        <v>74</v>
      </c>
      <c r="D10" s="13" t="s">
        <v>75</v>
      </c>
      <c r="E10" s="15" t="s">
        <v>104</v>
      </c>
      <c r="F10" s="13" t="s">
        <v>58</v>
      </c>
      <c r="G10" s="13" t="s">
        <v>90</v>
      </c>
      <c r="H10" s="14" t="s">
        <v>105</v>
      </c>
    </row>
    <row r="11" customFormat="false" ht="15" hidden="false" customHeight="false" outlineLevel="0" collapsed="false">
      <c r="A11" s="13" t="s">
        <v>109</v>
      </c>
      <c r="B11" s="14" t="s">
        <v>110</v>
      </c>
      <c r="C11" s="13" t="s">
        <v>68</v>
      </c>
      <c r="D11" s="13" t="s">
        <v>69</v>
      </c>
      <c r="E11" s="15" t="s">
        <v>111</v>
      </c>
      <c r="F11" s="13" t="s">
        <v>58</v>
      </c>
      <c r="G11" s="13" t="s">
        <v>90</v>
      </c>
      <c r="H11" s="14" t="s">
        <v>105</v>
      </c>
    </row>
    <row r="12" customFormat="false" ht="15" hidden="false" customHeight="false" outlineLevel="0" collapsed="false">
      <c r="A12" s="13" t="s">
        <v>121</v>
      </c>
      <c r="B12" s="14" t="s">
        <v>122</v>
      </c>
      <c r="C12" s="13" t="s">
        <v>68</v>
      </c>
      <c r="D12" s="13" t="s">
        <v>69</v>
      </c>
      <c r="E12" s="15" t="s">
        <v>123</v>
      </c>
      <c r="F12" s="13" t="s">
        <v>58</v>
      </c>
      <c r="G12" s="13" t="s">
        <v>90</v>
      </c>
      <c r="H12" s="14" t="s">
        <v>105</v>
      </c>
    </row>
    <row r="13" customFormat="false" ht="15" hidden="false" customHeight="false" outlineLevel="0" collapsed="false">
      <c r="A13" s="13" t="s">
        <v>124</v>
      </c>
      <c r="B13" s="14" t="s">
        <v>125</v>
      </c>
      <c r="C13" s="13" t="s">
        <v>68</v>
      </c>
      <c r="D13" s="13" t="s">
        <v>69</v>
      </c>
      <c r="E13" s="15" t="s">
        <v>126</v>
      </c>
      <c r="F13" s="13" t="s">
        <v>58</v>
      </c>
      <c r="G13" s="13" t="s">
        <v>90</v>
      </c>
      <c r="H13" s="14" t="s">
        <v>105</v>
      </c>
    </row>
    <row r="14" customFormat="false" ht="23.85" hidden="false" customHeight="false" outlineLevel="0" collapsed="false">
      <c r="A14" s="13" t="s">
        <v>469</v>
      </c>
      <c r="B14" s="14" t="s">
        <v>470</v>
      </c>
      <c r="C14" s="13" t="s">
        <v>68</v>
      </c>
      <c r="D14" s="13" t="s">
        <v>471</v>
      </c>
      <c r="E14" s="15" t="s">
        <v>472</v>
      </c>
      <c r="F14" s="13" t="s">
        <v>58</v>
      </c>
      <c r="G14" s="13" t="s">
        <v>90</v>
      </c>
      <c r="H14" s="14" t="s">
        <v>473</v>
      </c>
    </row>
    <row r="15" customFormat="false" ht="23.85" hidden="false" customHeight="false" outlineLevel="0" collapsed="false">
      <c r="A15" s="13" t="s">
        <v>474</v>
      </c>
      <c r="B15" s="14" t="s">
        <v>475</v>
      </c>
      <c r="C15" s="13" t="s">
        <v>68</v>
      </c>
      <c r="D15" s="13" t="s">
        <v>471</v>
      </c>
      <c r="E15" s="15" t="s">
        <v>476</v>
      </c>
      <c r="F15" s="13" t="s">
        <v>58</v>
      </c>
      <c r="G15" s="13" t="s">
        <v>90</v>
      </c>
      <c r="H15" s="14" t="s">
        <v>473</v>
      </c>
    </row>
    <row r="16" customFormat="false" ht="15" hidden="false" customHeight="false" outlineLevel="0" collapsed="false">
      <c r="A16" s="13" t="s">
        <v>477</v>
      </c>
      <c r="B16" s="14" t="s">
        <v>478</v>
      </c>
      <c r="C16" s="13" t="s">
        <v>68</v>
      </c>
      <c r="D16" s="13" t="s">
        <v>69</v>
      </c>
      <c r="E16" s="15" t="s">
        <v>479</v>
      </c>
      <c r="F16" s="13" t="s">
        <v>58</v>
      </c>
      <c r="G16" s="13" t="s">
        <v>90</v>
      </c>
      <c r="H16" s="14" t="s">
        <v>141</v>
      </c>
    </row>
    <row r="17" customFormat="false" ht="15" hidden="false" customHeight="false" outlineLevel="0" collapsed="false">
      <c r="A17" s="13" t="s">
        <v>480</v>
      </c>
      <c r="B17" s="14" t="s">
        <v>481</v>
      </c>
      <c r="C17" s="13" t="s">
        <v>80</v>
      </c>
      <c r="D17" s="13" t="s">
        <v>75</v>
      </c>
      <c r="E17" s="15" t="s">
        <v>482</v>
      </c>
      <c r="F17" s="13" t="s">
        <v>58</v>
      </c>
      <c r="G17" s="13" t="s">
        <v>140</v>
      </c>
      <c r="H17" s="14" t="s">
        <v>141</v>
      </c>
    </row>
    <row r="18" customFormat="false" ht="15" hidden="false" customHeight="false" outlineLevel="0" collapsed="false">
      <c r="A18" s="13" t="s">
        <v>483</v>
      </c>
      <c r="B18" s="14" t="s">
        <v>484</v>
      </c>
      <c r="C18" s="13" t="s">
        <v>74</v>
      </c>
      <c r="D18" s="13" t="s">
        <v>75</v>
      </c>
      <c r="E18" s="15" t="s">
        <v>485</v>
      </c>
      <c r="F18" s="13" t="s">
        <v>58</v>
      </c>
      <c r="G18" s="13" t="s">
        <v>140</v>
      </c>
      <c r="H18" s="14" t="s">
        <v>141</v>
      </c>
    </row>
    <row r="19" customFormat="false" ht="15" hidden="false" customHeight="false" outlineLevel="0" collapsed="false">
      <c r="A19" s="13" t="s">
        <v>486</v>
      </c>
      <c r="B19" s="14" t="s">
        <v>487</v>
      </c>
      <c r="C19" s="13" t="s">
        <v>68</v>
      </c>
      <c r="D19" s="13" t="s">
        <v>69</v>
      </c>
      <c r="E19" s="15" t="s">
        <v>488</v>
      </c>
      <c r="F19" s="13" t="s">
        <v>58</v>
      </c>
      <c r="G19" s="13" t="s">
        <v>140</v>
      </c>
      <c r="H19" s="14" t="s">
        <v>141</v>
      </c>
    </row>
    <row r="20" customFormat="false" ht="15" hidden="false" customHeight="false" outlineLevel="0" collapsed="false">
      <c r="A20" s="13" t="s">
        <v>489</v>
      </c>
      <c r="B20" s="14" t="s">
        <v>490</v>
      </c>
      <c r="C20" s="13" t="s">
        <v>68</v>
      </c>
      <c r="D20" s="13" t="s">
        <v>69</v>
      </c>
      <c r="E20" s="15" t="s">
        <v>491</v>
      </c>
      <c r="F20" s="13" t="s">
        <v>58</v>
      </c>
      <c r="G20" s="13" t="s">
        <v>140</v>
      </c>
      <c r="H20" s="14" t="s">
        <v>141</v>
      </c>
    </row>
    <row r="21" customFormat="false" ht="23.85" hidden="false" customHeight="false" outlineLevel="0" collapsed="false">
      <c r="A21" s="13" t="s">
        <v>492</v>
      </c>
      <c r="B21" s="14" t="s">
        <v>493</v>
      </c>
      <c r="C21" s="13" t="s">
        <v>68</v>
      </c>
      <c r="D21" s="13" t="s">
        <v>471</v>
      </c>
      <c r="E21" s="15" t="s">
        <v>494</v>
      </c>
      <c r="F21" s="13" t="s">
        <v>58</v>
      </c>
      <c r="G21" s="13" t="s">
        <v>140</v>
      </c>
      <c r="H21" s="14" t="s">
        <v>495</v>
      </c>
    </row>
    <row r="22" customFormat="false" ht="23.85" hidden="false" customHeight="false" outlineLevel="0" collapsed="false">
      <c r="A22" s="13" t="s">
        <v>496</v>
      </c>
      <c r="B22" s="14" t="s">
        <v>497</v>
      </c>
      <c r="C22" s="13" t="s">
        <v>68</v>
      </c>
      <c r="D22" s="13" t="s">
        <v>471</v>
      </c>
      <c r="E22" s="15" t="s">
        <v>498</v>
      </c>
      <c r="F22" s="13" t="s">
        <v>58</v>
      </c>
      <c r="G22" s="13" t="s">
        <v>140</v>
      </c>
      <c r="H22" s="14" t="s">
        <v>495</v>
      </c>
    </row>
    <row r="23" customFormat="false" ht="15" hidden="false" customHeight="false" outlineLevel="0" collapsed="false">
      <c r="A23" s="13" t="s">
        <v>499</v>
      </c>
      <c r="B23" s="14" t="s">
        <v>500</v>
      </c>
      <c r="C23" s="13" t="s">
        <v>68</v>
      </c>
      <c r="D23" s="13" t="s">
        <v>69</v>
      </c>
      <c r="E23" s="15" t="s">
        <v>501</v>
      </c>
      <c r="F23" s="13" t="s">
        <v>58</v>
      </c>
      <c r="G23" s="13" t="s">
        <v>140</v>
      </c>
      <c r="H23" s="14" t="s">
        <v>141</v>
      </c>
    </row>
    <row r="24" customFormat="false" ht="15" hidden="false" customHeight="false" outlineLevel="0" collapsed="false">
      <c r="A24" s="11" t="s">
        <v>502</v>
      </c>
      <c r="B24" s="12"/>
      <c r="C24" s="12"/>
      <c r="D24" s="12"/>
      <c r="E24" s="12"/>
      <c r="F24" s="12"/>
      <c r="G24" s="12"/>
      <c r="H24" s="12"/>
    </row>
    <row r="25" customFormat="false" ht="15" hidden="false" customHeight="false" outlineLevel="0" collapsed="false">
      <c r="A25" s="13" t="s">
        <v>503</v>
      </c>
      <c r="B25" s="14" t="s">
        <v>504</v>
      </c>
      <c r="C25" s="13" t="s">
        <v>63</v>
      </c>
      <c r="D25" s="13" t="s">
        <v>56</v>
      </c>
      <c r="E25" s="15" t="s">
        <v>505</v>
      </c>
      <c r="F25" s="13" t="s">
        <v>212</v>
      </c>
      <c r="G25" s="13" t="s">
        <v>59</v>
      </c>
      <c r="H25" s="14" t="s">
        <v>506</v>
      </c>
    </row>
    <row r="26" customFormat="false" ht="15" hidden="false" customHeight="false" outlineLevel="0" collapsed="false">
      <c r="A26" s="13" t="s">
        <v>507</v>
      </c>
      <c r="B26" s="14" t="s">
        <v>508</v>
      </c>
      <c r="C26" s="13" t="s">
        <v>74</v>
      </c>
      <c r="D26" s="13" t="s">
        <v>56</v>
      </c>
      <c r="E26" s="15" t="s">
        <v>509</v>
      </c>
      <c r="F26" s="13" t="s">
        <v>212</v>
      </c>
      <c r="G26" s="13" t="s">
        <v>59</v>
      </c>
      <c r="H26" s="14" t="s">
        <v>510</v>
      </c>
    </row>
    <row r="27" customFormat="false" ht="15" hidden="false" customHeight="false" outlineLevel="0" collapsed="false">
      <c r="A27" s="11" t="s">
        <v>511</v>
      </c>
      <c r="B27" s="12"/>
      <c r="C27" s="12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13" t="s">
        <v>512</v>
      </c>
      <c r="B28" s="14" t="s">
        <v>513</v>
      </c>
      <c r="C28" s="13" t="s">
        <v>74</v>
      </c>
      <c r="D28" s="13" t="s">
        <v>56</v>
      </c>
      <c r="E28" s="15" t="s">
        <v>514</v>
      </c>
      <c r="F28" s="13" t="s">
        <v>212</v>
      </c>
      <c r="G28" s="13" t="s">
        <v>90</v>
      </c>
      <c r="H28" s="14" t="s">
        <v>515</v>
      </c>
    </row>
    <row r="29" customFormat="false" ht="15" hidden="false" customHeight="false" outlineLevel="0" collapsed="false">
      <c r="A29" s="13" t="s">
        <v>516</v>
      </c>
      <c r="B29" s="14" t="s">
        <v>517</v>
      </c>
      <c r="C29" s="13" t="s">
        <v>74</v>
      </c>
      <c r="D29" s="13" t="s">
        <v>56</v>
      </c>
      <c r="E29" s="15" t="s">
        <v>518</v>
      </c>
      <c r="F29" s="13" t="s">
        <v>212</v>
      </c>
      <c r="G29" s="13" t="s">
        <v>90</v>
      </c>
      <c r="H29" s="14" t="s">
        <v>519</v>
      </c>
    </row>
    <row r="30" customFormat="false" ht="15" hidden="false" customHeight="false" outlineLevel="0" collapsed="false">
      <c r="A30" s="13" t="s">
        <v>520</v>
      </c>
      <c r="B30" s="14" t="s">
        <v>521</v>
      </c>
      <c r="C30" s="13" t="s">
        <v>74</v>
      </c>
      <c r="D30" s="13" t="s">
        <v>56</v>
      </c>
      <c r="E30" s="15" t="s">
        <v>522</v>
      </c>
      <c r="F30" s="13" t="s">
        <v>212</v>
      </c>
      <c r="G30" s="13" t="s">
        <v>90</v>
      </c>
      <c r="H30" s="14" t="s">
        <v>523</v>
      </c>
    </row>
    <row r="31" customFormat="false" ht="15" hidden="false" customHeight="false" outlineLevel="0" collapsed="false">
      <c r="A31" s="13" t="s">
        <v>524</v>
      </c>
      <c r="B31" s="14" t="s">
        <v>525</v>
      </c>
      <c r="C31" s="13" t="s">
        <v>74</v>
      </c>
      <c r="D31" s="13" t="s">
        <v>56</v>
      </c>
      <c r="E31" s="15" t="s">
        <v>526</v>
      </c>
      <c r="F31" s="13" t="s">
        <v>212</v>
      </c>
      <c r="G31" s="13" t="s">
        <v>90</v>
      </c>
      <c r="H31" s="14" t="s">
        <v>527</v>
      </c>
    </row>
    <row r="32" customFormat="false" ht="15" hidden="false" customHeight="false" outlineLevel="0" collapsed="false">
      <c r="A32" s="13" t="s">
        <v>528</v>
      </c>
      <c r="B32" s="14" t="s">
        <v>529</v>
      </c>
      <c r="C32" s="13" t="s">
        <v>74</v>
      </c>
      <c r="D32" s="13" t="s">
        <v>56</v>
      </c>
      <c r="E32" s="15" t="s">
        <v>530</v>
      </c>
      <c r="F32" s="13" t="s">
        <v>212</v>
      </c>
      <c r="G32" s="13" t="s">
        <v>90</v>
      </c>
      <c r="H32" s="14" t="s">
        <v>531</v>
      </c>
    </row>
    <row r="33" customFormat="false" ht="15" hidden="false" customHeight="false" outlineLevel="0" collapsed="false">
      <c r="A33" s="13" t="s">
        <v>532</v>
      </c>
      <c r="B33" s="14" t="s">
        <v>533</v>
      </c>
      <c r="C33" s="13" t="s">
        <v>74</v>
      </c>
      <c r="D33" s="13" t="s">
        <v>56</v>
      </c>
      <c r="E33" s="15" t="s">
        <v>534</v>
      </c>
      <c r="F33" s="13" t="s">
        <v>212</v>
      </c>
      <c r="G33" s="13" t="s">
        <v>90</v>
      </c>
      <c r="H33" s="14" t="s">
        <v>535</v>
      </c>
    </row>
    <row r="34" customFormat="false" ht="15" hidden="false" customHeight="false" outlineLevel="0" collapsed="false">
      <c r="A34" s="13" t="s">
        <v>536</v>
      </c>
      <c r="B34" s="14" t="s">
        <v>537</v>
      </c>
      <c r="C34" s="13" t="s">
        <v>74</v>
      </c>
      <c r="D34" s="13" t="s">
        <v>56</v>
      </c>
      <c r="E34" s="15" t="s">
        <v>538</v>
      </c>
      <c r="F34" s="13" t="s">
        <v>212</v>
      </c>
      <c r="G34" s="13" t="s">
        <v>140</v>
      </c>
      <c r="H34" s="14" t="s">
        <v>539</v>
      </c>
    </row>
    <row r="35" customFormat="false" ht="15" hidden="false" customHeight="false" outlineLevel="0" collapsed="false">
      <c r="A35" s="13" t="s">
        <v>540</v>
      </c>
      <c r="B35" s="14" t="s">
        <v>541</v>
      </c>
      <c r="C35" s="13" t="s">
        <v>74</v>
      </c>
      <c r="D35" s="13" t="s">
        <v>56</v>
      </c>
      <c r="E35" s="15" t="s">
        <v>542</v>
      </c>
      <c r="F35" s="13" t="s">
        <v>212</v>
      </c>
      <c r="G35" s="13" t="s">
        <v>140</v>
      </c>
      <c r="H35" s="14" t="s">
        <v>543</v>
      </c>
    </row>
    <row r="36" customFormat="false" ht="15" hidden="false" customHeight="false" outlineLevel="0" collapsed="false">
      <c r="A36" s="13" t="s">
        <v>544</v>
      </c>
      <c r="B36" s="14" t="s">
        <v>545</v>
      </c>
      <c r="C36" s="13" t="s">
        <v>74</v>
      </c>
      <c r="D36" s="13" t="s">
        <v>56</v>
      </c>
      <c r="E36" s="15" t="s">
        <v>546</v>
      </c>
      <c r="F36" s="13" t="s">
        <v>212</v>
      </c>
      <c r="G36" s="13" t="s">
        <v>140</v>
      </c>
      <c r="H36" s="14" t="s">
        <v>547</v>
      </c>
    </row>
    <row r="37" customFormat="false" ht="15" hidden="false" customHeight="false" outlineLevel="0" collapsed="false">
      <c r="A37" s="13" t="s">
        <v>548</v>
      </c>
      <c r="B37" s="14" t="s">
        <v>549</v>
      </c>
      <c r="C37" s="13" t="s">
        <v>74</v>
      </c>
      <c r="D37" s="13" t="s">
        <v>56</v>
      </c>
      <c r="E37" s="15" t="s">
        <v>550</v>
      </c>
      <c r="F37" s="13" t="s">
        <v>212</v>
      </c>
      <c r="G37" s="13" t="s">
        <v>140</v>
      </c>
      <c r="H37" s="14" t="s">
        <v>551</v>
      </c>
    </row>
    <row r="38" customFormat="false" ht="15" hidden="false" customHeight="false" outlineLevel="0" collapsed="false">
      <c r="A38" s="11" t="s">
        <v>552</v>
      </c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A39" s="13" t="s">
        <v>553</v>
      </c>
      <c r="B39" s="14" t="s">
        <v>554</v>
      </c>
      <c r="C39" s="13" t="s">
        <v>68</v>
      </c>
      <c r="D39" s="13" t="s">
        <v>471</v>
      </c>
      <c r="E39" s="15" t="s">
        <v>555</v>
      </c>
      <c r="F39" s="13" t="s">
        <v>271</v>
      </c>
      <c r="G39" s="13" t="s">
        <v>90</v>
      </c>
      <c r="H39" s="14" t="s">
        <v>556</v>
      </c>
    </row>
    <row r="40" customFormat="false" ht="23.85" hidden="false" customHeight="false" outlineLevel="0" collapsed="false">
      <c r="A40" s="13" t="s">
        <v>557</v>
      </c>
      <c r="B40" s="14" t="s">
        <v>558</v>
      </c>
      <c r="C40" s="13" t="s">
        <v>68</v>
      </c>
      <c r="D40" s="13" t="s">
        <v>69</v>
      </c>
      <c r="E40" s="15" t="s">
        <v>559</v>
      </c>
      <c r="F40" s="13" t="s">
        <v>212</v>
      </c>
      <c r="G40" s="13" t="s">
        <v>90</v>
      </c>
      <c r="H40" s="14" t="s">
        <v>560</v>
      </c>
    </row>
    <row r="41" customFormat="false" ht="23.85" hidden="false" customHeight="false" outlineLevel="0" collapsed="false">
      <c r="A41" s="13" t="s">
        <v>561</v>
      </c>
      <c r="B41" s="14" t="s">
        <v>562</v>
      </c>
      <c r="C41" s="13" t="s">
        <v>68</v>
      </c>
      <c r="D41" s="13" t="s">
        <v>69</v>
      </c>
      <c r="E41" s="15" t="s">
        <v>563</v>
      </c>
      <c r="F41" s="13" t="s">
        <v>212</v>
      </c>
      <c r="G41" s="13" t="s">
        <v>90</v>
      </c>
      <c r="H41" s="14" t="s">
        <v>564</v>
      </c>
    </row>
    <row r="42" customFormat="false" ht="23.85" hidden="false" customHeight="false" outlineLevel="0" collapsed="false">
      <c r="A42" s="13" t="s">
        <v>565</v>
      </c>
      <c r="B42" s="14" t="s">
        <v>566</v>
      </c>
      <c r="C42" s="13" t="s">
        <v>68</v>
      </c>
      <c r="D42" s="13" t="s">
        <v>69</v>
      </c>
      <c r="E42" s="15" t="s">
        <v>567</v>
      </c>
      <c r="F42" s="13" t="s">
        <v>271</v>
      </c>
      <c r="G42" s="13" t="s">
        <v>90</v>
      </c>
      <c r="H42" s="14" t="s">
        <v>568</v>
      </c>
    </row>
    <row r="44" customFormat="false" ht="15" hidden="false" customHeight="false" outlineLevel="0" collapsed="false">
      <c r="A44" s="7" t="s">
        <v>304</v>
      </c>
    </row>
    <row r="45" customFormat="false" ht="26.85" hidden="false" customHeight="false" outlineLevel="0" collapsed="false">
      <c r="A45" s="3" t="s">
        <v>305</v>
      </c>
      <c r="B45" s="3" t="s">
        <v>306</v>
      </c>
      <c r="C45" s="3" t="s">
        <v>307</v>
      </c>
      <c r="D45" s="3" t="s">
        <v>308</v>
      </c>
    </row>
    <row r="46" customFormat="false" ht="15" hidden="false" customHeight="false" outlineLevel="0" collapsed="false">
      <c r="A46" s="14" t="n">
        <v>600</v>
      </c>
      <c r="B46" s="14" t="s">
        <v>569</v>
      </c>
      <c r="C46" s="14" t="s">
        <v>570</v>
      </c>
      <c r="D46" s="14" t="s">
        <v>503</v>
      </c>
    </row>
    <row r="47" customFormat="false" ht="15" hidden="false" customHeight="false" outlineLevel="0" collapsed="false">
      <c r="A47" s="14" t="n">
        <v>280</v>
      </c>
      <c r="B47" s="14" t="s">
        <v>571</v>
      </c>
      <c r="C47" s="14" t="s">
        <v>570</v>
      </c>
      <c r="D47" s="14" t="s">
        <v>503</v>
      </c>
    </row>
    <row r="48" customFormat="false" ht="15" hidden="false" customHeight="false" outlineLevel="0" collapsed="false">
      <c r="A48" s="14" t="n">
        <v>1065</v>
      </c>
      <c r="B48" s="14" t="s">
        <v>572</v>
      </c>
      <c r="C48" s="14" t="s">
        <v>570</v>
      </c>
      <c r="D48" s="14" t="s">
        <v>503</v>
      </c>
    </row>
  </sheetData>
  <hyperlinks>
    <hyperlink ref="E6" r:id="rId1" display="http://www.secretariasenado.gov.co/senado/basedoc/constitucion_politica_1991.html?q=Constitucion"/>
    <hyperlink ref="E7" r:id="rId2" display="http://www.secretariasenado.gov.co/senado/basedoc/?q=Codigo%20general%20proceso"/>
    <hyperlink ref="E8" r:id="rId3" display="https://www.corteconstitucional.gov.co/relatoria/?q=Sentencia%20C-355%20de%202006"/>
    <hyperlink ref="E9" r:id="rId4" display="https://www.corteconstitucional.gov.co/relatoria/?q=Sentencia%20C-55%20de%202022"/>
    <hyperlink ref="E10" r:id="rId5" display="https://www.suin-juriscol.gov.co/legislacion/?q=Ley%201095%20de%202006"/>
    <hyperlink ref="E11" r:id="rId6" display="https://www.corteconstitucional.gov.co/relatoria/?q=Sentencia%20C-15%20de%202018"/>
    <hyperlink ref="E12" r:id="rId7" display="https://www.corteconstitucional.gov.co/relatoria/?q=Sentencia%20C-164%20de%202022"/>
    <hyperlink ref="E13" r:id="rId8" display="https://www.corteconstitucional.gov.co/relatoria/?q=Sentencia%20C-431%20de%202001"/>
    <hyperlink ref="E14" r:id="rId9" display="https://www.corteconstitucional.gov.co/relatoria/?q=Sentencia%20SP-1680%20de%202022"/>
    <hyperlink ref="E15" r:id="rId10" display="https://www.corteconstitucional.gov.co/relatoria/?q=Sentencia%20SP-1945%20de%202019"/>
    <hyperlink ref="E16" r:id="rId11" display="https://www.corteconstitucional.gov.co/relatoria/?q=Sentencia%20SU-429%20de%202024"/>
    <hyperlink ref="E17" r:id="rId12" display="https://www.suin-juriscol.gov.co/legislacion/?q=Decreto%20780%20de%202016"/>
    <hyperlink ref="E18" r:id="rId13" display="https://www.suin-juriscol.gov.co/legislacion/?q=Ley%20600%20de%202000"/>
    <hyperlink ref="E19" r:id="rId14" display="https://www.corteconstitucional.gov.co/relatoria/?q=Sentencia%20C-1189%20de%202000"/>
    <hyperlink ref="E20" r:id="rId15" display="https://www.corteconstitucional.gov.co/relatoria/?q=Sentencia%20C-335%20de%202008"/>
    <hyperlink ref="E21" r:id="rId16" display="https://www.corteconstitucional.gov.co/relatoria/?q=Sentencia%20SP-1167%20de%202022"/>
    <hyperlink ref="E22" r:id="rId17" display="https://www.corteconstitucional.gov.co/relatoria/?q=Sentencia%20SP-3218%20de%202021"/>
    <hyperlink ref="E23" r:id="rId18" display="https://www.corteconstitucional.gov.co/relatoria/?q=Sentencia%20T-248%20de%202025"/>
    <hyperlink ref="E25" r:id="rId19" display="http://www.secretariasenado.gov.co/senado/basedoc/ley_0599_2000.html"/>
    <hyperlink ref="E26" r:id="rId20" display="http://www.secretariasenado.gov.co/senado/basedoc/ley_0906_2004.html"/>
    <hyperlink ref="E28" r:id="rId21" display="http://www.secretariasenado.gov.co/senado/basedoc/ley_1257_2008.html"/>
    <hyperlink ref="E29" r:id="rId22" display="http://www.secretariasenado.gov.co/senado/basedoc/ley_1453_2011.html"/>
    <hyperlink ref="E30" r:id="rId23" display="http://www.secretariasenado.gov.co/senado/basedoc/ley_1709_2014.html"/>
    <hyperlink ref="E31" r:id="rId24" display="http://www.secretariasenado.gov.co/senado/basedoc/ley_1761_2015.html"/>
    <hyperlink ref="E32" r:id="rId25" display="http://www.secretariasenado.gov.co/senado/basedoc/ley_1826_2017.html"/>
    <hyperlink ref="E33" r:id="rId26" display="http://www.secretariasenado.gov.co/senado/basedoc/ley_0065_1993.html"/>
    <hyperlink ref="E34" r:id="rId27" display="http://www.secretariasenado.gov.co/senado/basedoc/ley_1121_2006.html"/>
    <hyperlink ref="E35" r:id="rId28" display="http://www.secretariasenado.gov.co/senado/basedoc/ley_1273_2009.html"/>
    <hyperlink ref="E36" r:id="rId29" display="http://www.secretariasenado.gov.co/senado/basedoc/ley_2098_2021.html"/>
    <hyperlink ref="E37" r:id="rId30" display="http://www.secretariasenado.gov.co/senado/basedoc/ley_2197_2022.html"/>
    <hyperlink ref="E39" r:id="rId31" display="https://cortesuprema.gov.co"/>
    <hyperlink ref="E40" r:id="rId32" display="https://www.corteconstitucional.gov.co/relatoria/?q=Sentencia%20C-221%20de%201994"/>
    <hyperlink ref="E41" r:id="rId33" display="https://www.corteconstitucional.gov.co/relatoria/?q=Sentencia%20C-294%20de%202021"/>
    <hyperlink ref="E42" r:id="rId34" display="https://www.corteconstitucional.gov.co/relatoria/?q=Sentencia%20C-591%20de%20200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573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574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23.85" hidden="false" customHeight="false" outlineLevel="0" collapsed="false">
      <c r="A7" s="13" t="s">
        <v>465</v>
      </c>
      <c r="B7" s="14" t="s">
        <v>466</v>
      </c>
      <c r="C7" s="13" t="s">
        <v>63</v>
      </c>
      <c r="D7" s="13" t="s">
        <v>56</v>
      </c>
      <c r="E7" s="15" t="s">
        <v>467</v>
      </c>
      <c r="F7" s="13" t="s">
        <v>58</v>
      </c>
      <c r="G7" s="13" t="s">
        <v>59</v>
      </c>
      <c r="H7" s="14" t="s">
        <v>468</v>
      </c>
    </row>
    <row r="8" customFormat="false" ht="15" hidden="false" customHeight="false" outlineLevel="0" collapsed="false">
      <c r="A8" s="13" t="s">
        <v>575</v>
      </c>
      <c r="B8" s="14" t="s">
        <v>576</v>
      </c>
      <c r="C8" s="13" t="s">
        <v>74</v>
      </c>
      <c r="D8" s="13" t="s">
        <v>75</v>
      </c>
      <c r="E8" s="15" t="s">
        <v>577</v>
      </c>
      <c r="F8" s="13" t="s">
        <v>58</v>
      </c>
      <c r="G8" s="13" t="s">
        <v>59</v>
      </c>
      <c r="H8" s="14" t="s">
        <v>578</v>
      </c>
    </row>
    <row r="9" customFormat="false" ht="15" hidden="false" customHeight="false" outlineLevel="0" collapsed="false">
      <c r="A9" s="13" t="s">
        <v>579</v>
      </c>
      <c r="B9" s="14" t="s">
        <v>580</v>
      </c>
      <c r="C9" s="13" t="s">
        <v>74</v>
      </c>
      <c r="D9" s="13" t="s">
        <v>75</v>
      </c>
      <c r="E9" s="15" t="s">
        <v>581</v>
      </c>
      <c r="F9" s="13" t="s">
        <v>58</v>
      </c>
      <c r="G9" s="13" t="s">
        <v>59</v>
      </c>
      <c r="H9" s="14" t="s">
        <v>582</v>
      </c>
    </row>
    <row r="10" customFormat="false" ht="15" hidden="false" customHeight="false" outlineLevel="0" collapsed="false">
      <c r="A10" s="13" t="s">
        <v>583</v>
      </c>
      <c r="B10" s="14" t="s">
        <v>584</v>
      </c>
      <c r="C10" s="13" t="s">
        <v>74</v>
      </c>
      <c r="D10" s="13" t="s">
        <v>75</v>
      </c>
      <c r="E10" s="15" t="s">
        <v>585</v>
      </c>
      <c r="F10" s="13" t="s">
        <v>58</v>
      </c>
      <c r="G10" s="13" t="s">
        <v>90</v>
      </c>
      <c r="H10" s="14" t="s">
        <v>95</v>
      </c>
    </row>
    <row r="11" customFormat="false" ht="15" hidden="false" customHeight="false" outlineLevel="0" collapsed="false">
      <c r="A11" s="13" t="s">
        <v>339</v>
      </c>
      <c r="B11" s="14" t="s">
        <v>340</v>
      </c>
      <c r="C11" s="13" t="s">
        <v>68</v>
      </c>
      <c r="D11" s="13" t="s">
        <v>69</v>
      </c>
      <c r="E11" s="15" t="s">
        <v>341</v>
      </c>
      <c r="F11" s="13" t="s">
        <v>58</v>
      </c>
      <c r="G11" s="13" t="s">
        <v>90</v>
      </c>
      <c r="H11" s="14" t="s">
        <v>105</v>
      </c>
    </row>
    <row r="12" customFormat="false" ht="15" hidden="false" customHeight="false" outlineLevel="0" collapsed="false">
      <c r="A12" s="13" t="s">
        <v>586</v>
      </c>
      <c r="B12" s="14" t="s">
        <v>587</v>
      </c>
      <c r="C12" s="13" t="s">
        <v>68</v>
      </c>
      <c r="D12" s="13" t="s">
        <v>69</v>
      </c>
      <c r="E12" s="15" t="s">
        <v>588</v>
      </c>
      <c r="F12" s="13" t="s">
        <v>58</v>
      </c>
      <c r="G12" s="13" t="s">
        <v>90</v>
      </c>
      <c r="H12" s="14" t="s">
        <v>105</v>
      </c>
    </row>
    <row r="13" customFormat="false" ht="23.85" hidden="false" customHeight="false" outlineLevel="0" collapsed="false">
      <c r="A13" s="13" t="s">
        <v>589</v>
      </c>
      <c r="B13" s="14" t="s">
        <v>590</v>
      </c>
      <c r="C13" s="13" t="s">
        <v>80</v>
      </c>
      <c r="D13" s="13" t="s">
        <v>75</v>
      </c>
      <c r="E13" s="15" t="s">
        <v>591</v>
      </c>
      <c r="F13" s="13" t="s">
        <v>145</v>
      </c>
      <c r="G13" s="13" t="s">
        <v>140</v>
      </c>
      <c r="H13" s="14" t="s">
        <v>592</v>
      </c>
    </row>
    <row r="14" customFormat="false" ht="23.85" hidden="false" customHeight="false" outlineLevel="0" collapsed="false">
      <c r="A14" s="13" t="s">
        <v>593</v>
      </c>
      <c r="B14" s="14" t="s">
        <v>594</v>
      </c>
      <c r="C14" s="13" t="s">
        <v>63</v>
      </c>
      <c r="D14" s="13" t="s">
        <v>56</v>
      </c>
      <c r="E14" s="15" t="s">
        <v>595</v>
      </c>
      <c r="F14" s="13" t="s">
        <v>58</v>
      </c>
      <c r="G14" s="13" t="s">
        <v>140</v>
      </c>
      <c r="H14" s="14" t="s">
        <v>141</v>
      </c>
    </row>
    <row r="15" customFormat="false" ht="15" hidden="false" customHeight="false" outlineLevel="0" collapsed="false">
      <c r="A15" s="13" t="s">
        <v>596</v>
      </c>
      <c r="B15" s="14" t="s">
        <v>597</v>
      </c>
      <c r="C15" s="13" t="s">
        <v>74</v>
      </c>
      <c r="D15" s="13" t="s">
        <v>75</v>
      </c>
      <c r="E15" s="15" t="s">
        <v>598</v>
      </c>
      <c r="F15" s="13" t="s">
        <v>58</v>
      </c>
      <c r="G15" s="13" t="s">
        <v>140</v>
      </c>
      <c r="H15" s="14" t="s">
        <v>141</v>
      </c>
    </row>
    <row r="16" customFormat="false" ht="15" hidden="false" customHeight="false" outlineLevel="0" collapsed="false">
      <c r="A16" s="11" t="s">
        <v>599</v>
      </c>
      <c r="B16" s="12"/>
      <c r="C16" s="12"/>
      <c r="D16" s="12"/>
      <c r="E16" s="12"/>
      <c r="F16" s="12"/>
      <c r="G16" s="12"/>
      <c r="H16" s="12"/>
    </row>
    <row r="17" customFormat="false" ht="23.85" hidden="false" customHeight="false" outlineLevel="0" collapsed="false">
      <c r="A17" s="13" t="s">
        <v>368</v>
      </c>
      <c r="B17" s="14" t="s">
        <v>369</v>
      </c>
      <c r="C17" s="13" t="s">
        <v>74</v>
      </c>
      <c r="D17" s="13" t="s">
        <v>56</v>
      </c>
      <c r="E17" s="15" t="s">
        <v>370</v>
      </c>
      <c r="F17" s="13" t="s">
        <v>212</v>
      </c>
      <c r="G17" s="13" t="s">
        <v>59</v>
      </c>
      <c r="H17" s="14" t="s">
        <v>600</v>
      </c>
    </row>
    <row r="18" customFormat="false" ht="15" hidden="false" customHeight="false" outlineLevel="0" collapsed="false">
      <c r="A18" s="13" t="s">
        <v>601</v>
      </c>
      <c r="B18" s="14" t="s">
        <v>602</v>
      </c>
      <c r="C18" s="13" t="s">
        <v>74</v>
      </c>
      <c r="D18" s="13" t="s">
        <v>56</v>
      </c>
      <c r="E18" s="15" t="s">
        <v>603</v>
      </c>
      <c r="F18" s="13" t="s">
        <v>212</v>
      </c>
      <c r="G18" s="13" t="s">
        <v>59</v>
      </c>
      <c r="H18" s="14" t="s">
        <v>604</v>
      </c>
    </row>
    <row r="19" customFormat="false" ht="15" hidden="false" customHeight="false" outlineLevel="0" collapsed="false">
      <c r="A19" s="13" t="s">
        <v>214</v>
      </c>
      <c r="B19" s="14" t="s">
        <v>215</v>
      </c>
      <c r="C19" s="13" t="s">
        <v>74</v>
      </c>
      <c r="D19" s="13" t="s">
        <v>56</v>
      </c>
      <c r="E19" s="15" t="s">
        <v>216</v>
      </c>
      <c r="F19" s="13" t="s">
        <v>212</v>
      </c>
      <c r="G19" s="13" t="s">
        <v>59</v>
      </c>
      <c r="H19" s="14" t="s">
        <v>605</v>
      </c>
    </row>
    <row r="20" customFormat="false" ht="15" hidden="false" customHeight="false" outlineLevel="0" collapsed="false">
      <c r="A20" s="13" t="s">
        <v>507</v>
      </c>
      <c r="B20" s="14" t="s">
        <v>508</v>
      </c>
      <c r="C20" s="13" t="s">
        <v>74</v>
      </c>
      <c r="D20" s="13" t="s">
        <v>56</v>
      </c>
      <c r="E20" s="15" t="s">
        <v>509</v>
      </c>
      <c r="F20" s="13" t="s">
        <v>212</v>
      </c>
      <c r="G20" s="13" t="s">
        <v>59</v>
      </c>
      <c r="H20" s="14" t="s">
        <v>606</v>
      </c>
    </row>
    <row r="21" customFormat="false" ht="15" hidden="false" customHeight="false" outlineLevel="0" collapsed="false">
      <c r="A21" s="11" t="s">
        <v>607</v>
      </c>
      <c r="B21" s="12"/>
      <c r="C21" s="12"/>
      <c r="D21" s="12"/>
      <c r="E21" s="12"/>
      <c r="F21" s="12"/>
      <c r="G21" s="12"/>
      <c r="H21" s="12"/>
    </row>
    <row r="22" customFormat="false" ht="23.85" hidden="false" customHeight="false" outlineLevel="0" collapsed="false">
      <c r="A22" s="13" t="s">
        <v>608</v>
      </c>
      <c r="B22" s="14" t="s">
        <v>609</v>
      </c>
      <c r="C22" s="13" t="s">
        <v>63</v>
      </c>
      <c r="D22" s="13" t="s">
        <v>56</v>
      </c>
      <c r="E22" s="15" t="s">
        <v>610</v>
      </c>
      <c r="F22" s="13" t="s">
        <v>212</v>
      </c>
      <c r="G22" s="13" t="s">
        <v>90</v>
      </c>
      <c r="H22" s="14" t="s">
        <v>611</v>
      </c>
    </row>
    <row r="23" customFormat="false" ht="15" hidden="false" customHeight="false" outlineLevel="0" collapsed="false">
      <c r="A23" s="13" t="s">
        <v>612</v>
      </c>
      <c r="B23" s="14" t="s">
        <v>613</v>
      </c>
      <c r="C23" s="13" t="s">
        <v>74</v>
      </c>
      <c r="D23" s="13" t="s">
        <v>56</v>
      </c>
      <c r="E23" s="15" t="s">
        <v>614</v>
      </c>
      <c r="F23" s="13" t="s">
        <v>212</v>
      </c>
      <c r="G23" s="13" t="s">
        <v>90</v>
      </c>
      <c r="H23" s="14" t="s">
        <v>615</v>
      </c>
    </row>
    <row r="24" customFormat="false" ht="23.85" hidden="false" customHeight="false" outlineLevel="0" collapsed="false">
      <c r="A24" s="13" t="s">
        <v>616</v>
      </c>
      <c r="B24" s="14" t="s">
        <v>617</v>
      </c>
      <c r="C24" s="13" t="s">
        <v>80</v>
      </c>
      <c r="D24" s="13" t="s">
        <v>75</v>
      </c>
      <c r="E24" s="15" t="s">
        <v>618</v>
      </c>
      <c r="F24" s="13" t="s">
        <v>212</v>
      </c>
      <c r="G24" s="13" t="s">
        <v>140</v>
      </c>
      <c r="H24" s="14" t="s">
        <v>619</v>
      </c>
    </row>
    <row r="25" customFormat="false" ht="23.85" hidden="false" customHeight="false" outlineLevel="0" collapsed="false">
      <c r="A25" s="13" t="s">
        <v>620</v>
      </c>
      <c r="B25" s="14" t="s">
        <v>621</v>
      </c>
      <c r="C25" s="13" t="s">
        <v>74</v>
      </c>
      <c r="D25" s="13" t="s">
        <v>56</v>
      </c>
      <c r="E25" s="15" t="s">
        <v>622</v>
      </c>
      <c r="F25" s="13" t="s">
        <v>212</v>
      </c>
      <c r="G25" s="13" t="s">
        <v>140</v>
      </c>
      <c r="H25" s="14" t="s">
        <v>623</v>
      </c>
    </row>
    <row r="26" customFormat="false" ht="15" hidden="false" customHeight="false" outlineLevel="0" collapsed="false">
      <c r="A26" s="11" t="s">
        <v>624</v>
      </c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13" t="s">
        <v>625</v>
      </c>
      <c r="B27" s="14" t="s">
        <v>626</v>
      </c>
      <c r="C27" s="13" t="s">
        <v>68</v>
      </c>
      <c r="D27" s="13" t="s">
        <v>69</v>
      </c>
      <c r="E27" s="15" t="s">
        <v>627</v>
      </c>
      <c r="F27" s="13" t="s">
        <v>212</v>
      </c>
      <c r="G27" s="13" t="s">
        <v>90</v>
      </c>
      <c r="H27" s="14" t="s">
        <v>628</v>
      </c>
    </row>
    <row r="28" customFormat="false" ht="23.85" hidden="false" customHeight="false" outlineLevel="0" collapsed="false">
      <c r="A28" s="13" t="s">
        <v>629</v>
      </c>
      <c r="B28" s="14" t="s">
        <v>630</v>
      </c>
      <c r="C28" s="13" t="s">
        <v>68</v>
      </c>
      <c r="D28" s="13" t="s">
        <v>69</v>
      </c>
      <c r="E28" s="15" t="s">
        <v>631</v>
      </c>
      <c r="F28" s="13" t="s">
        <v>212</v>
      </c>
      <c r="G28" s="13" t="s">
        <v>90</v>
      </c>
      <c r="H28" s="14" t="s">
        <v>632</v>
      </c>
    </row>
    <row r="29" customFormat="false" ht="23.85" hidden="false" customHeight="false" outlineLevel="0" collapsed="false">
      <c r="A29" s="13" t="s">
        <v>281</v>
      </c>
      <c r="B29" s="14" t="s">
        <v>282</v>
      </c>
      <c r="C29" s="13" t="s">
        <v>68</v>
      </c>
      <c r="D29" s="13" t="s">
        <v>69</v>
      </c>
      <c r="E29" s="15" t="s">
        <v>283</v>
      </c>
      <c r="F29" s="13" t="s">
        <v>212</v>
      </c>
      <c r="G29" s="13" t="s">
        <v>90</v>
      </c>
      <c r="H29" s="14" t="s">
        <v>284</v>
      </c>
    </row>
    <row r="31" customFormat="false" ht="15" hidden="false" customHeight="false" outlineLevel="0" collapsed="false">
      <c r="A31" s="7" t="s">
        <v>304</v>
      </c>
    </row>
    <row r="32" customFormat="false" ht="26.85" hidden="false" customHeight="false" outlineLevel="0" collapsed="false">
      <c r="A32" s="3" t="s">
        <v>305</v>
      </c>
      <c r="B32" s="3" t="s">
        <v>306</v>
      </c>
      <c r="C32" s="3" t="s">
        <v>307</v>
      </c>
      <c r="D32" s="3" t="s">
        <v>308</v>
      </c>
    </row>
    <row r="33" customFormat="false" ht="15" hidden="false" customHeight="false" outlineLevel="0" collapsed="false">
      <c r="A33" s="14" t="n">
        <v>1089</v>
      </c>
      <c r="B33" s="14" t="s">
        <v>633</v>
      </c>
      <c r="C33" s="14" t="s">
        <v>457</v>
      </c>
      <c r="D33" s="14" t="s">
        <v>368</v>
      </c>
    </row>
  </sheetData>
  <hyperlinks>
    <hyperlink ref="E6" r:id="rId1" display="http://www.secretariasenado.gov.co/senado/basedoc/constitucion_politica_1991.html?q=Constitucion"/>
    <hyperlink ref="E7" r:id="rId2" display="http://www.secretariasenado.gov.co/senado/basedoc/?q=Codigo%20general%20proceso"/>
    <hyperlink ref="E8" r:id="rId3" display="https://www.suin-juriscol.gov.co/legislacion/?q=Ley%202220%20de%202022"/>
    <hyperlink ref="E9" r:id="rId4" display="https://www.suin-juriscol.gov.co/legislacion/?q=Ley%201116%20de%202006"/>
    <hyperlink ref="E10" r:id="rId5" display="https://www.suin-juriscol.gov.co/legislacion/?q=Ley%202437%20de%202024"/>
    <hyperlink ref="E11" r:id="rId6" display="https://www.corteconstitucional.gov.co/relatoria/?q=Sentencia%20C-259%20de%202015"/>
    <hyperlink ref="E12" r:id="rId7" display="https://www.corteconstitucional.gov.co/relatoria/?q=Sentencia%20C-500%20de%202024"/>
    <hyperlink ref="E13" r:id="rId8" display="https://www.suin-juriscol.gov.co/legislacion/?q=Decreto%201563%20de%202012"/>
    <hyperlink ref="E14" r:id="rId9" display="http://www.secretariasenado.gov.co/senado/basedoc/?q=Codigo%20nacional%20policia"/>
    <hyperlink ref="E15" r:id="rId10" display="https://www.suin-juriscol.gov.co/legislacion/?q=Ley%20678%20de%202001"/>
    <hyperlink ref="E17" r:id="rId11" display="http://www.secretariasenado.gov.co/senado/basedoc/ley_1437_2011.html"/>
    <hyperlink ref="E18" r:id="rId12" display="http://www.secretariasenado.gov.co/senado/basedoc/ley_1563_2012.html"/>
    <hyperlink ref="E19" r:id="rId13" display="http://www.secretariasenado.gov.co/senado/basedoc/ley_0270_1996.html"/>
    <hyperlink ref="E20" r:id="rId14" display="http://www.secretariasenado.gov.co/senado/basedoc/ley_0906_2004.html"/>
    <hyperlink ref="E22" r:id="rId15" display="http://www.secretariasenado.gov.co/senado/basedoc/codigo_procedimental_laboral.html"/>
    <hyperlink ref="E23" r:id="rId16" display="http://www.secretariasenado.gov.co/senado/basedoc/ley_2213_2022.html"/>
    <hyperlink ref="E24" r:id="rId17" display="https://www.suin-juriscol.gov.co/legislacion/?q=Decreto%20806%20de%202020"/>
    <hyperlink ref="E25" r:id="rId18" display="http://www.secretariasenado.gov.co/senado/basedoc/ley_1285_2009.html"/>
    <hyperlink ref="E27" r:id="rId19" display="https://www.corteconstitucional.gov.co/relatoria/?q=Sentencia%20C-420%20de%202020"/>
    <hyperlink ref="E28" r:id="rId20" display="https://www.corteconstitucional.gov.co/relatoria/?q=Sentencia%20C-543%20de%201992"/>
    <hyperlink ref="E29" r:id="rId21" display="https://www.corteconstitucional.gov.co/relatoria/?q=Sentencia%20C-590%20de%20200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634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635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23.85" hidden="false" customHeight="false" outlineLevel="0" collapsed="false">
      <c r="A7" s="13" t="s">
        <v>465</v>
      </c>
      <c r="B7" s="14" t="s">
        <v>466</v>
      </c>
      <c r="C7" s="13" t="s">
        <v>63</v>
      </c>
      <c r="D7" s="13" t="s">
        <v>56</v>
      </c>
      <c r="E7" s="15" t="s">
        <v>467</v>
      </c>
      <c r="F7" s="13" t="s">
        <v>58</v>
      </c>
      <c r="G7" s="13" t="s">
        <v>59</v>
      </c>
      <c r="H7" s="14" t="s">
        <v>468</v>
      </c>
    </row>
    <row r="8" customFormat="false" ht="15" hidden="false" customHeight="false" outlineLevel="0" collapsed="false">
      <c r="A8" s="13" t="s">
        <v>636</v>
      </c>
      <c r="B8" s="14" t="s">
        <v>637</v>
      </c>
      <c r="C8" s="13" t="s">
        <v>638</v>
      </c>
      <c r="D8" s="13" t="s">
        <v>56</v>
      </c>
      <c r="E8" s="15" t="s">
        <v>639</v>
      </c>
      <c r="F8" s="13" t="s">
        <v>58</v>
      </c>
      <c r="G8" s="13" t="s">
        <v>59</v>
      </c>
      <c r="H8" s="14" t="s">
        <v>640</v>
      </c>
    </row>
    <row r="9" customFormat="false" ht="15" hidden="false" customHeight="false" outlineLevel="0" collapsed="false">
      <c r="A9" s="13" t="s">
        <v>579</v>
      </c>
      <c r="B9" s="14" t="s">
        <v>580</v>
      </c>
      <c r="C9" s="13" t="s">
        <v>74</v>
      </c>
      <c r="D9" s="13" t="s">
        <v>75</v>
      </c>
      <c r="E9" s="15" t="s">
        <v>581</v>
      </c>
      <c r="F9" s="13" t="s">
        <v>58</v>
      </c>
      <c r="G9" s="13" t="s">
        <v>59</v>
      </c>
      <c r="H9" s="14" t="s">
        <v>582</v>
      </c>
    </row>
    <row r="10" customFormat="false" ht="15" hidden="false" customHeight="false" outlineLevel="0" collapsed="false">
      <c r="A10" s="13" t="s">
        <v>641</v>
      </c>
      <c r="B10" s="14" t="s">
        <v>642</v>
      </c>
      <c r="C10" s="13" t="s">
        <v>74</v>
      </c>
      <c r="D10" s="13" t="s">
        <v>75</v>
      </c>
      <c r="E10" s="15" t="s">
        <v>643</v>
      </c>
      <c r="F10" s="13" t="s">
        <v>58</v>
      </c>
      <c r="G10" s="13" t="s">
        <v>59</v>
      </c>
      <c r="H10" s="14" t="s">
        <v>91</v>
      </c>
    </row>
    <row r="11" customFormat="false" ht="15" hidden="false" customHeight="false" outlineLevel="0" collapsed="false">
      <c r="A11" s="13" t="s">
        <v>644</v>
      </c>
      <c r="B11" s="14" t="s">
        <v>645</v>
      </c>
      <c r="C11" s="13" t="s">
        <v>80</v>
      </c>
      <c r="D11" s="13" t="s">
        <v>75</v>
      </c>
      <c r="E11" s="15" t="s">
        <v>646</v>
      </c>
      <c r="F11" s="13" t="s">
        <v>58</v>
      </c>
      <c r="G11" s="13" t="s">
        <v>59</v>
      </c>
      <c r="H11" s="14" t="s">
        <v>647</v>
      </c>
    </row>
    <row r="12" customFormat="false" ht="23.85" hidden="false" customHeight="false" outlineLevel="0" collapsed="false">
      <c r="A12" s="13" t="s">
        <v>648</v>
      </c>
      <c r="B12" s="14" t="s">
        <v>649</v>
      </c>
      <c r="C12" s="13" t="s">
        <v>68</v>
      </c>
      <c r="D12" s="13" t="s">
        <v>69</v>
      </c>
      <c r="E12" s="15" t="s">
        <v>650</v>
      </c>
      <c r="F12" s="13" t="s">
        <v>58</v>
      </c>
      <c r="G12" s="13" t="s">
        <v>59</v>
      </c>
      <c r="H12" s="14" t="s">
        <v>651</v>
      </c>
    </row>
    <row r="13" customFormat="false" ht="15" hidden="false" customHeight="false" outlineLevel="0" collapsed="false">
      <c r="A13" s="13" t="s">
        <v>652</v>
      </c>
      <c r="B13" s="14" t="s">
        <v>653</v>
      </c>
      <c r="C13" s="13" t="s">
        <v>80</v>
      </c>
      <c r="D13" s="13" t="s">
        <v>75</v>
      </c>
      <c r="E13" s="15" t="s">
        <v>654</v>
      </c>
      <c r="F13" s="13" t="s">
        <v>58</v>
      </c>
      <c r="G13" s="13" t="s">
        <v>140</v>
      </c>
      <c r="H13" s="14" t="s">
        <v>141</v>
      </c>
    </row>
    <row r="14" customFormat="false" ht="15" hidden="false" customHeight="false" outlineLevel="0" collapsed="false">
      <c r="A14" s="13" t="s">
        <v>655</v>
      </c>
      <c r="B14" s="14" t="s">
        <v>656</v>
      </c>
      <c r="C14" s="13" t="s">
        <v>80</v>
      </c>
      <c r="D14" s="13" t="s">
        <v>75</v>
      </c>
      <c r="E14" s="15" t="s">
        <v>657</v>
      </c>
      <c r="F14" s="13" t="s">
        <v>58</v>
      </c>
      <c r="G14" s="13" t="s">
        <v>140</v>
      </c>
      <c r="H14" s="14" t="s">
        <v>141</v>
      </c>
    </row>
    <row r="15" customFormat="false" ht="15" hidden="false" customHeight="false" outlineLevel="0" collapsed="false">
      <c r="A15" s="13" t="s">
        <v>658</v>
      </c>
      <c r="B15" s="14" t="s">
        <v>659</v>
      </c>
      <c r="C15" s="13" t="s">
        <v>80</v>
      </c>
      <c r="D15" s="13" t="s">
        <v>75</v>
      </c>
      <c r="E15" s="15" t="s">
        <v>660</v>
      </c>
      <c r="F15" s="13" t="s">
        <v>58</v>
      </c>
      <c r="G15" s="13" t="s">
        <v>140</v>
      </c>
      <c r="H15" s="14" t="s">
        <v>141</v>
      </c>
    </row>
    <row r="16" customFormat="false" ht="15" hidden="false" customHeight="false" outlineLevel="0" collapsed="false">
      <c r="A16" s="13" t="s">
        <v>661</v>
      </c>
      <c r="B16" s="14" t="s">
        <v>662</v>
      </c>
      <c r="C16" s="13" t="s">
        <v>74</v>
      </c>
      <c r="D16" s="13" t="s">
        <v>75</v>
      </c>
      <c r="E16" s="15" t="s">
        <v>663</v>
      </c>
      <c r="F16" s="13" t="s">
        <v>58</v>
      </c>
      <c r="G16" s="13" t="s">
        <v>140</v>
      </c>
      <c r="H16" s="14" t="s">
        <v>141</v>
      </c>
    </row>
    <row r="17" customFormat="false" ht="15" hidden="false" customHeight="false" outlineLevel="0" collapsed="false">
      <c r="A17" s="13" t="s">
        <v>664</v>
      </c>
      <c r="B17" s="14" t="s">
        <v>665</v>
      </c>
      <c r="C17" s="13" t="s">
        <v>74</v>
      </c>
      <c r="D17" s="13" t="s">
        <v>75</v>
      </c>
      <c r="E17" s="15" t="s">
        <v>666</v>
      </c>
      <c r="F17" s="13" t="s">
        <v>58</v>
      </c>
      <c r="G17" s="13" t="s">
        <v>140</v>
      </c>
      <c r="H17" s="14" t="s">
        <v>141</v>
      </c>
    </row>
    <row r="18" customFormat="false" ht="15" hidden="false" customHeight="false" outlineLevel="0" collapsed="false">
      <c r="A18" s="13" t="s">
        <v>667</v>
      </c>
      <c r="B18" s="14" t="s">
        <v>668</v>
      </c>
      <c r="C18" s="13" t="s">
        <v>74</v>
      </c>
      <c r="D18" s="13" t="s">
        <v>75</v>
      </c>
      <c r="E18" s="15" t="s">
        <v>669</v>
      </c>
      <c r="F18" s="13" t="s">
        <v>58</v>
      </c>
      <c r="G18" s="13" t="s">
        <v>140</v>
      </c>
      <c r="H18" s="14" t="s">
        <v>141</v>
      </c>
    </row>
    <row r="19" customFormat="false" ht="23.85" hidden="false" customHeight="false" outlineLevel="0" collapsed="false">
      <c r="A19" s="13" t="s">
        <v>670</v>
      </c>
      <c r="B19" s="14" t="s">
        <v>671</v>
      </c>
      <c r="C19" s="13" t="s">
        <v>74</v>
      </c>
      <c r="D19" s="13" t="s">
        <v>75</v>
      </c>
      <c r="E19" s="15" t="s">
        <v>672</v>
      </c>
      <c r="F19" s="13" t="s">
        <v>145</v>
      </c>
      <c r="G19" s="13" t="s">
        <v>140</v>
      </c>
      <c r="H19" s="14" t="s">
        <v>673</v>
      </c>
    </row>
    <row r="20" customFormat="false" ht="15" hidden="false" customHeight="false" outlineLevel="0" collapsed="false">
      <c r="A20" s="13" t="s">
        <v>674</v>
      </c>
      <c r="B20" s="14" t="s">
        <v>675</v>
      </c>
      <c r="C20" s="13" t="s">
        <v>68</v>
      </c>
      <c r="D20" s="13" t="s">
        <v>69</v>
      </c>
      <c r="E20" s="15" t="s">
        <v>676</v>
      </c>
      <c r="F20" s="13" t="s">
        <v>58</v>
      </c>
      <c r="G20" s="13" t="s">
        <v>140</v>
      </c>
      <c r="H20" s="14" t="s">
        <v>141</v>
      </c>
    </row>
    <row r="21" customFormat="false" ht="15" hidden="false" customHeight="false" outlineLevel="0" collapsed="false">
      <c r="A21" s="13" t="s">
        <v>677</v>
      </c>
      <c r="B21" s="14" t="s">
        <v>678</v>
      </c>
      <c r="C21" s="13" t="s">
        <v>68</v>
      </c>
      <c r="D21" s="13" t="s">
        <v>69</v>
      </c>
      <c r="E21" s="15" t="s">
        <v>679</v>
      </c>
      <c r="F21" s="13" t="s">
        <v>58</v>
      </c>
      <c r="G21" s="13" t="s">
        <v>140</v>
      </c>
      <c r="H21" s="14" t="s">
        <v>141</v>
      </c>
    </row>
    <row r="22" customFormat="false" ht="23.85" hidden="false" customHeight="false" outlineLevel="0" collapsed="false">
      <c r="A22" s="13" t="s">
        <v>680</v>
      </c>
      <c r="B22" s="14" t="s">
        <v>681</v>
      </c>
      <c r="C22" s="13" t="s">
        <v>68</v>
      </c>
      <c r="D22" s="13" t="s">
        <v>471</v>
      </c>
      <c r="E22" s="15" t="s">
        <v>682</v>
      </c>
      <c r="F22" s="13" t="s">
        <v>58</v>
      </c>
      <c r="G22" s="13" t="s">
        <v>140</v>
      </c>
      <c r="H22" s="14" t="s">
        <v>495</v>
      </c>
    </row>
    <row r="23" customFormat="false" ht="23.85" hidden="false" customHeight="false" outlineLevel="0" collapsed="false">
      <c r="A23" s="13" t="s">
        <v>683</v>
      </c>
      <c r="B23" s="14" t="s">
        <v>684</v>
      </c>
      <c r="C23" s="13" t="s">
        <v>68</v>
      </c>
      <c r="D23" s="13" t="s">
        <v>471</v>
      </c>
      <c r="E23" s="15" t="s">
        <v>685</v>
      </c>
      <c r="F23" s="13" t="s">
        <v>58</v>
      </c>
      <c r="G23" s="13" t="s">
        <v>140</v>
      </c>
      <c r="H23" s="14" t="s">
        <v>495</v>
      </c>
    </row>
    <row r="24" customFormat="false" ht="23.85" hidden="false" customHeight="false" outlineLevel="0" collapsed="false">
      <c r="A24" s="13" t="s">
        <v>686</v>
      </c>
      <c r="B24" s="14" t="s">
        <v>687</v>
      </c>
      <c r="C24" s="13" t="s">
        <v>68</v>
      </c>
      <c r="D24" s="13" t="s">
        <v>471</v>
      </c>
      <c r="E24" s="15" t="s">
        <v>688</v>
      </c>
      <c r="F24" s="13" t="s">
        <v>58</v>
      </c>
      <c r="G24" s="13" t="s">
        <v>140</v>
      </c>
      <c r="H24" s="14" t="s">
        <v>495</v>
      </c>
    </row>
    <row r="25" customFormat="false" ht="23.85" hidden="false" customHeight="false" outlineLevel="0" collapsed="false">
      <c r="A25" s="13" t="s">
        <v>689</v>
      </c>
      <c r="B25" s="14" t="s">
        <v>690</v>
      </c>
      <c r="C25" s="13" t="s">
        <v>68</v>
      </c>
      <c r="D25" s="13" t="s">
        <v>471</v>
      </c>
      <c r="E25" s="15" t="s">
        <v>691</v>
      </c>
      <c r="F25" s="13" t="s">
        <v>58</v>
      </c>
      <c r="G25" s="13" t="s">
        <v>140</v>
      </c>
      <c r="H25" s="14" t="s">
        <v>495</v>
      </c>
    </row>
    <row r="26" customFormat="false" ht="15" hidden="false" customHeight="false" outlineLevel="0" collapsed="false">
      <c r="A26" s="11" t="s">
        <v>502</v>
      </c>
      <c r="B26" s="12"/>
      <c r="C26" s="12"/>
      <c r="D26" s="12"/>
      <c r="E26" s="12"/>
      <c r="F26" s="12"/>
      <c r="G26" s="12"/>
      <c r="H26" s="12"/>
    </row>
    <row r="27" customFormat="false" ht="23.85" hidden="false" customHeight="false" outlineLevel="0" collapsed="false">
      <c r="A27" s="13" t="s">
        <v>692</v>
      </c>
      <c r="B27" s="14" t="s">
        <v>693</v>
      </c>
      <c r="C27" s="13" t="s">
        <v>63</v>
      </c>
      <c r="D27" s="13" t="s">
        <v>56</v>
      </c>
      <c r="E27" s="15" t="s">
        <v>694</v>
      </c>
      <c r="F27" s="13" t="s">
        <v>212</v>
      </c>
      <c r="G27" s="13" t="s">
        <v>59</v>
      </c>
      <c r="H27" s="14" t="s">
        <v>695</v>
      </c>
    </row>
    <row r="28" customFormat="false" ht="15" hidden="false" customHeight="false" outlineLevel="0" collapsed="false">
      <c r="A28" s="13" t="s">
        <v>696</v>
      </c>
      <c r="B28" s="14" t="s">
        <v>697</v>
      </c>
      <c r="C28" s="13" t="s">
        <v>74</v>
      </c>
      <c r="D28" s="13" t="s">
        <v>56</v>
      </c>
      <c r="E28" s="15" t="s">
        <v>698</v>
      </c>
      <c r="F28" s="13" t="s">
        <v>212</v>
      </c>
      <c r="G28" s="13" t="s">
        <v>59</v>
      </c>
      <c r="H28" s="14" t="s">
        <v>699</v>
      </c>
    </row>
    <row r="29" customFormat="false" ht="15" hidden="false" customHeight="false" outlineLevel="0" collapsed="false">
      <c r="A29" s="11" t="s">
        <v>700</v>
      </c>
      <c r="B29" s="12"/>
      <c r="C29" s="12"/>
      <c r="D29" s="12"/>
      <c r="E29" s="12"/>
      <c r="F29" s="12"/>
      <c r="G29" s="12"/>
      <c r="H29" s="12"/>
    </row>
    <row r="30" customFormat="false" ht="23.85" hidden="false" customHeight="false" outlineLevel="0" collapsed="false">
      <c r="A30" s="13" t="s">
        <v>701</v>
      </c>
      <c r="B30" s="14" t="s">
        <v>702</v>
      </c>
      <c r="C30" s="13" t="s">
        <v>80</v>
      </c>
      <c r="D30" s="13" t="s">
        <v>75</v>
      </c>
      <c r="E30" s="15" t="s">
        <v>703</v>
      </c>
      <c r="F30" s="13" t="s">
        <v>212</v>
      </c>
      <c r="G30" s="13" t="s">
        <v>90</v>
      </c>
      <c r="H30" s="14" t="s">
        <v>704</v>
      </c>
    </row>
    <row r="31" customFormat="false" ht="15" hidden="false" customHeight="false" outlineLevel="0" collapsed="false">
      <c r="A31" s="13" t="s">
        <v>705</v>
      </c>
      <c r="B31" s="14" t="s">
        <v>706</v>
      </c>
      <c r="C31" s="13" t="s">
        <v>74</v>
      </c>
      <c r="D31" s="13" t="s">
        <v>56</v>
      </c>
      <c r="E31" s="15" t="s">
        <v>707</v>
      </c>
      <c r="F31" s="13" t="s">
        <v>212</v>
      </c>
      <c r="G31" s="13" t="s">
        <v>90</v>
      </c>
      <c r="H31" s="14" t="s">
        <v>708</v>
      </c>
    </row>
    <row r="32" customFormat="false" ht="15" hidden="false" customHeight="false" outlineLevel="0" collapsed="false">
      <c r="A32" s="13" t="s">
        <v>709</v>
      </c>
      <c r="B32" s="14" t="s">
        <v>710</v>
      </c>
      <c r="C32" s="13" t="s">
        <v>74</v>
      </c>
      <c r="D32" s="13" t="s">
        <v>56</v>
      </c>
      <c r="E32" s="15" t="s">
        <v>711</v>
      </c>
      <c r="F32" s="13" t="s">
        <v>212</v>
      </c>
      <c r="G32" s="13" t="s">
        <v>90</v>
      </c>
      <c r="H32" s="14" t="s">
        <v>712</v>
      </c>
    </row>
    <row r="33" customFormat="false" ht="15" hidden="false" customHeight="false" outlineLevel="0" collapsed="false">
      <c r="A33" s="13" t="s">
        <v>713</v>
      </c>
      <c r="B33" s="14" t="s">
        <v>714</v>
      </c>
      <c r="C33" s="13" t="s">
        <v>80</v>
      </c>
      <c r="D33" s="13" t="s">
        <v>75</v>
      </c>
      <c r="E33" s="15" t="s">
        <v>715</v>
      </c>
      <c r="F33" s="13" t="s">
        <v>212</v>
      </c>
      <c r="G33" s="13" t="s">
        <v>140</v>
      </c>
      <c r="H33" s="14" t="s">
        <v>716</v>
      </c>
    </row>
    <row r="34" customFormat="false" ht="15" hidden="false" customHeight="false" outlineLevel="0" collapsed="false">
      <c r="A34" s="13" t="s">
        <v>717</v>
      </c>
      <c r="B34" s="14" t="s">
        <v>718</v>
      </c>
      <c r="C34" s="13" t="s">
        <v>74</v>
      </c>
      <c r="D34" s="13" t="s">
        <v>56</v>
      </c>
      <c r="E34" s="15" t="s">
        <v>719</v>
      </c>
      <c r="F34" s="13" t="s">
        <v>212</v>
      </c>
      <c r="G34" s="13" t="s">
        <v>140</v>
      </c>
      <c r="H34" s="14" t="s">
        <v>720</v>
      </c>
    </row>
    <row r="35" customFormat="false" ht="15" hidden="false" customHeight="false" outlineLevel="0" collapsed="false">
      <c r="A35" s="13" t="s">
        <v>721</v>
      </c>
      <c r="B35" s="14" t="s">
        <v>722</v>
      </c>
      <c r="C35" s="13" t="s">
        <v>74</v>
      </c>
      <c r="D35" s="13" t="s">
        <v>56</v>
      </c>
      <c r="E35" s="15" t="s">
        <v>723</v>
      </c>
      <c r="F35" s="13" t="s">
        <v>212</v>
      </c>
      <c r="G35" s="13" t="s">
        <v>140</v>
      </c>
      <c r="H35" s="14" t="s">
        <v>724</v>
      </c>
    </row>
    <row r="36" customFormat="false" ht="15" hidden="false" customHeight="false" outlineLevel="0" collapsed="false">
      <c r="A36" s="13" t="s">
        <v>725</v>
      </c>
      <c r="B36" s="14" t="s">
        <v>726</v>
      </c>
      <c r="C36" s="13" t="s">
        <v>74</v>
      </c>
      <c r="D36" s="13" t="s">
        <v>56</v>
      </c>
      <c r="E36" s="15" t="s">
        <v>727</v>
      </c>
      <c r="F36" s="13" t="s">
        <v>212</v>
      </c>
      <c r="G36" s="13" t="s">
        <v>140</v>
      </c>
      <c r="H36" s="14" t="s">
        <v>728</v>
      </c>
    </row>
    <row r="37" customFormat="false" ht="15" hidden="false" customHeight="false" outlineLevel="0" collapsed="false">
      <c r="A37" s="11" t="s">
        <v>729</v>
      </c>
      <c r="B37" s="12"/>
      <c r="C37" s="12"/>
      <c r="D37" s="12"/>
      <c r="E37" s="12"/>
      <c r="F37" s="12"/>
      <c r="G37" s="12"/>
      <c r="H37" s="12"/>
    </row>
    <row r="38" customFormat="false" ht="23.85" hidden="false" customHeight="false" outlineLevel="0" collapsed="false">
      <c r="A38" s="13" t="s">
        <v>730</v>
      </c>
      <c r="B38" s="14" t="s">
        <v>731</v>
      </c>
      <c r="C38" s="13" t="s">
        <v>68</v>
      </c>
      <c r="D38" s="13" t="s">
        <v>471</v>
      </c>
      <c r="E38" s="15" t="s">
        <v>555</v>
      </c>
      <c r="F38" s="13" t="s">
        <v>271</v>
      </c>
      <c r="G38" s="13" t="s">
        <v>59</v>
      </c>
      <c r="H38" s="14" t="s">
        <v>732</v>
      </c>
    </row>
    <row r="39" customFormat="false" ht="23.85" hidden="false" customHeight="false" outlineLevel="0" collapsed="false">
      <c r="A39" s="13" t="s">
        <v>733</v>
      </c>
      <c r="B39" s="14" t="s">
        <v>734</v>
      </c>
      <c r="C39" s="13" t="s">
        <v>735</v>
      </c>
      <c r="D39" s="13" t="s">
        <v>736</v>
      </c>
      <c r="E39" s="15" t="s">
        <v>737</v>
      </c>
      <c r="F39" s="13" t="s">
        <v>271</v>
      </c>
      <c r="G39" s="13" t="s">
        <v>90</v>
      </c>
      <c r="H39" s="14" t="s">
        <v>738</v>
      </c>
    </row>
    <row r="41" customFormat="false" ht="15" hidden="false" customHeight="false" outlineLevel="0" collapsed="false">
      <c r="A41" s="7" t="s">
        <v>304</v>
      </c>
    </row>
    <row r="42" customFormat="false" ht="26.85" hidden="false" customHeight="false" outlineLevel="0" collapsed="false">
      <c r="A42" s="3" t="s">
        <v>305</v>
      </c>
      <c r="B42" s="3" t="s">
        <v>306</v>
      </c>
      <c r="C42" s="3" t="s">
        <v>307</v>
      </c>
      <c r="D42" s="3" t="s">
        <v>308</v>
      </c>
    </row>
    <row r="43" customFormat="false" ht="102.2" hidden="false" customHeight="false" outlineLevel="0" collapsed="false">
      <c r="A43" s="14" t="n">
        <v>272</v>
      </c>
      <c r="B43" s="14" t="s">
        <v>739</v>
      </c>
      <c r="C43" s="14" t="s">
        <v>740</v>
      </c>
      <c r="D43" s="14" t="s">
        <v>733</v>
      </c>
    </row>
    <row r="44" customFormat="false" ht="35.05" hidden="false" customHeight="false" outlineLevel="0" collapsed="false">
      <c r="A44" s="14" t="n">
        <v>239</v>
      </c>
      <c r="B44" s="14" t="s">
        <v>741</v>
      </c>
      <c r="C44" s="14" t="s">
        <v>742</v>
      </c>
      <c r="D44" s="14" t="s">
        <v>692</v>
      </c>
    </row>
    <row r="45" customFormat="false" ht="79.85" hidden="false" customHeight="false" outlineLevel="0" collapsed="false">
      <c r="A45" s="14" t="n">
        <v>239</v>
      </c>
      <c r="B45" s="14" t="s">
        <v>741</v>
      </c>
      <c r="C45" s="14" t="s">
        <v>743</v>
      </c>
      <c r="D45" s="14" t="s">
        <v>730</v>
      </c>
    </row>
    <row r="46" customFormat="false" ht="91" hidden="false" customHeight="false" outlineLevel="0" collapsed="false">
      <c r="A46" s="14" t="n">
        <v>697</v>
      </c>
      <c r="B46" s="14" t="s">
        <v>744</v>
      </c>
      <c r="C46" s="14" t="s">
        <v>745</v>
      </c>
      <c r="D46" s="14" t="s">
        <v>463</v>
      </c>
    </row>
  </sheetData>
  <hyperlinks>
    <hyperlink ref="E6" r:id="rId1" display="http://www.secretariasenado.gov.co/senado/basedoc/constitucion_politica_1991.html?q=Constitucion"/>
    <hyperlink ref="E7" r:id="rId2" display="http://www.secretariasenado.gov.co/senado/basedoc/?q=Codigo%20general%20proceso"/>
    <hyperlink ref="E8" r:id="rId3" display="http://www.secretariasenado.gov.co/senado/basedoc/?q=Decision%20andina%20486"/>
    <hyperlink ref="E9" r:id="rId4" display="https://www.suin-juriscol.gov.co/legislacion/?q=Ley%201116%20de%202006"/>
    <hyperlink ref="E10" r:id="rId5" display="https://www.suin-juriscol.gov.co/legislacion/?q=Ley%201258%20de%202008"/>
    <hyperlink ref="E11" r:id="rId6" display="https://www.suin-juriscol.gov.co/legislacion/?q=Decreto%20663%20de%201993"/>
    <hyperlink ref="E12" r:id="rId7" display="https://www.corteconstitucional.gov.co/relatoria/?q=Sentencia%20C-145%20de%202018"/>
    <hyperlink ref="E13" r:id="rId8" display="https://www.suin-juriscol.gov.co/legislacion/?q=Decreto%2024%20de%202016"/>
    <hyperlink ref="E14" r:id="rId9" display="https://www.suin-juriscol.gov.co/legislacion/?q=Decreto%204334%20de%202008"/>
    <hyperlink ref="E15" r:id="rId10" display="https://www.suin-juriscol.gov.co/legislacion/?q=Decreto%20046%20de%202024"/>
    <hyperlink ref="E16" r:id="rId11" display="https://www.suin-juriscol.gov.co/legislacion/?q=Ley%201700%20de%202013"/>
    <hyperlink ref="E17" r:id="rId12" display="https://www.suin-juriscol.gov.co/legislacion/?q=Ley%20527%20de%201999"/>
    <hyperlink ref="E18" r:id="rId13" display="https://www.suin-juriscol.gov.co/legislacion/?q=Ley%20820%20de%202003"/>
    <hyperlink ref="E19" r:id="rId14" display="https://www.suin-juriscol.gov.co/legislacion/?q=Ley%20964%20de%202006"/>
    <hyperlink ref="E20" r:id="rId15" display="https://www.corteconstitucional.gov.co/relatoria/?q=Sentencia%20C-276%20de%202025"/>
    <hyperlink ref="E21" r:id="rId16" display="https://www.corteconstitucional.gov.co/relatoria/?q=Sentencia%20C-486%20de%201993"/>
    <hyperlink ref="E22" r:id="rId17" display="https://www.corteconstitucional.gov.co/relatoria/?q=Sentencia%20SC-18392%20de%202017"/>
    <hyperlink ref="E23" r:id="rId18" display="https://www.corteconstitucional.gov.co/relatoria/?q=Sentencia%20SC-3674%20de%202021"/>
    <hyperlink ref="E24" r:id="rId19" display="https://www.corteconstitucional.gov.co/relatoria/?q=Sentencia%20SC-425%20de%202024"/>
    <hyperlink ref="E25" r:id="rId20" display="https://www.corteconstitucional.gov.co/relatoria/?q=Sentencia%20SC-8453%20de%202016"/>
    <hyperlink ref="E27" r:id="rId21" display="http://www.secretariasenado.gov.co/senado/basedoc/codigo_comercio.html"/>
    <hyperlink ref="E28" r:id="rId22" display="http://www.secretariasenado.gov.co/senado/basedoc/ley_0222_1995.html"/>
    <hyperlink ref="E30" r:id="rId23" display="https://www.suin-juriscol.gov.co/legislacion/?q=Decreto%201074%20de%202015"/>
    <hyperlink ref="E31" r:id="rId24" display="http://www.secretariasenado.gov.co/senado/basedoc/ley_1328_2009.html"/>
    <hyperlink ref="E32" r:id="rId25" display="http://www.secretariasenado.gov.co/senado/basedoc/ley_1676_2013.html"/>
    <hyperlink ref="E33" r:id="rId26" display="https://www.suin-juriscol.gov.co/legislacion/?q=Decreto%202555%20de%202010"/>
    <hyperlink ref="E34" r:id="rId27" display="http://www.secretariasenado.gov.co/senado/basedoc/ley_1231_2008.html"/>
    <hyperlink ref="E35" r:id="rId28" display="http://www.secretariasenado.gov.co/senado/basedoc/ley_1429_2010.html"/>
    <hyperlink ref="E36" r:id="rId29" display="http://www.secretariasenado.gov.co/senado/basedoc/ley_2069_2020.html"/>
    <hyperlink ref="E38" r:id="rId30" display="https://cortesuprema.gov.co"/>
    <hyperlink ref="E39" r:id="rId31" display="https://www.supersociedades.gov.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746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747</v>
      </c>
      <c r="B5" s="12"/>
      <c r="C5" s="12"/>
      <c r="D5" s="12"/>
      <c r="E5" s="12"/>
      <c r="F5" s="12"/>
      <c r="G5" s="12"/>
      <c r="H5" s="12"/>
    </row>
    <row r="6" customFormat="false" ht="23.85" hidden="false" customHeight="false" outlineLevel="0" collapsed="false">
      <c r="A6" s="13" t="s">
        <v>465</v>
      </c>
      <c r="B6" s="14" t="s">
        <v>466</v>
      </c>
      <c r="C6" s="13" t="s">
        <v>63</v>
      </c>
      <c r="D6" s="13" t="s">
        <v>56</v>
      </c>
      <c r="E6" s="15" t="s">
        <v>467</v>
      </c>
      <c r="F6" s="13" t="s">
        <v>58</v>
      </c>
      <c r="G6" s="13" t="s">
        <v>59</v>
      </c>
      <c r="H6" s="14" t="s">
        <v>468</v>
      </c>
    </row>
    <row r="7" customFormat="false" ht="15" hidden="false" customHeight="false" outlineLevel="0" collapsed="false">
      <c r="A7" s="13" t="s">
        <v>61</v>
      </c>
      <c r="B7" s="14" t="s">
        <v>62</v>
      </c>
      <c r="C7" s="13" t="s">
        <v>63</v>
      </c>
      <c r="D7" s="13" t="s">
        <v>56</v>
      </c>
      <c r="E7" s="15" t="s">
        <v>64</v>
      </c>
      <c r="F7" s="13" t="s">
        <v>58</v>
      </c>
      <c r="G7" s="13" t="s">
        <v>59</v>
      </c>
      <c r="H7" s="14" t="s">
        <v>65</v>
      </c>
    </row>
    <row r="8" customFormat="false" ht="23.85" hidden="false" customHeight="false" outlineLevel="0" collapsed="false">
      <c r="A8" s="13" t="s">
        <v>748</v>
      </c>
      <c r="B8" s="14" t="s">
        <v>749</v>
      </c>
      <c r="C8" s="13" t="s">
        <v>63</v>
      </c>
      <c r="D8" s="13" t="s">
        <v>56</v>
      </c>
      <c r="E8" s="15" t="s">
        <v>750</v>
      </c>
      <c r="F8" s="13" t="s">
        <v>58</v>
      </c>
      <c r="G8" s="13" t="s">
        <v>59</v>
      </c>
      <c r="H8" s="14" t="s">
        <v>751</v>
      </c>
    </row>
    <row r="9" customFormat="false" ht="15" hidden="false" customHeight="false" outlineLevel="0" collapsed="false">
      <c r="A9" s="13" t="s">
        <v>575</v>
      </c>
      <c r="B9" s="14" t="s">
        <v>576</v>
      </c>
      <c r="C9" s="13" t="s">
        <v>74</v>
      </c>
      <c r="D9" s="13" t="s">
        <v>75</v>
      </c>
      <c r="E9" s="15" t="s">
        <v>577</v>
      </c>
      <c r="F9" s="13" t="s">
        <v>58</v>
      </c>
      <c r="G9" s="13" t="s">
        <v>59</v>
      </c>
      <c r="H9" s="14" t="s">
        <v>578</v>
      </c>
    </row>
    <row r="10" customFormat="false" ht="15" hidden="false" customHeight="false" outlineLevel="0" collapsed="false">
      <c r="A10" s="13" t="s">
        <v>752</v>
      </c>
      <c r="B10" s="14" t="s">
        <v>753</v>
      </c>
      <c r="C10" s="13" t="s">
        <v>74</v>
      </c>
      <c r="D10" s="13" t="s">
        <v>75</v>
      </c>
      <c r="E10" s="15" t="s">
        <v>754</v>
      </c>
      <c r="F10" s="13" t="s">
        <v>58</v>
      </c>
      <c r="G10" s="13" t="s">
        <v>59</v>
      </c>
      <c r="H10" s="14" t="s">
        <v>95</v>
      </c>
    </row>
    <row r="11" customFormat="false" ht="15" hidden="false" customHeight="false" outlineLevel="0" collapsed="false">
      <c r="A11" s="13" t="s">
        <v>755</v>
      </c>
      <c r="B11" s="14" t="s">
        <v>756</v>
      </c>
      <c r="C11" s="13" t="s">
        <v>68</v>
      </c>
      <c r="D11" s="13" t="s">
        <v>69</v>
      </c>
      <c r="E11" s="15" t="s">
        <v>757</v>
      </c>
      <c r="F11" s="13" t="s">
        <v>58</v>
      </c>
      <c r="G11" s="13" t="s">
        <v>59</v>
      </c>
      <c r="H11" s="14" t="s">
        <v>758</v>
      </c>
    </row>
    <row r="12" customFormat="false" ht="15" hidden="false" customHeight="false" outlineLevel="0" collapsed="false">
      <c r="A12" s="13" t="s">
        <v>583</v>
      </c>
      <c r="B12" s="14" t="s">
        <v>584</v>
      </c>
      <c r="C12" s="13" t="s">
        <v>74</v>
      </c>
      <c r="D12" s="13" t="s">
        <v>75</v>
      </c>
      <c r="E12" s="15" t="s">
        <v>585</v>
      </c>
      <c r="F12" s="13" t="s">
        <v>58</v>
      </c>
      <c r="G12" s="13" t="s">
        <v>90</v>
      </c>
      <c r="H12" s="14" t="s">
        <v>95</v>
      </c>
    </row>
    <row r="13" customFormat="false" ht="15" hidden="false" customHeight="false" outlineLevel="0" collapsed="false">
      <c r="A13" s="13" t="s">
        <v>759</v>
      </c>
      <c r="B13" s="14" t="s">
        <v>760</v>
      </c>
      <c r="C13" s="13" t="s">
        <v>68</v>
      </c>
      <c r="D13" s="13" t="s">
        <v>69</v>
      </c>
      <c r="E13" s="15" t="s">
        <v>761</v>
      </c>
      <c r="F13" s="13" t="s">
        <v>58</v>
      </c>
      <c r="G13" s="13" t="s">
        <v>90</v>
      </c>
      <c r="H13" s="14" t="s">
        <v>95</v>
      </c>
    </row>
    <row r="14" customFormat="false" ht="23.85" hidden="false" customHeight="false" outlineLevel="0" collapsed="false">
      <c r="A14" s="13" t="s">
        <v>762</v>
      </c>
      <c r="B14" s="14" t="s">
        <v>763</v>
      </c>
      <c r="C14" s="13" t="s">
        <v>68</v>
      </c>
      <c r="D14" s="13" t="s">
        <v>69</v>
      </c>
      <c r="E14" s="15" t="s">
        <v>764</v>
      </c>
      <c r="F14" s="13" t="s">
        <v>58</v>
      </c>
      <c r="G14" s="13" t="s">
        <v>90</v>
      </c>
      <c r="H14" s="14" t="s">
        <v>105</v>
      </c>
    </row>
    <row r="15" customFormat="false" ht="15" hidden="false" customHeight="false" outlineLevel="0" collapsed="false">
      <c r="A15" s="13" t="s">
        <v>765</v>
      </c>
      <c r="B15" s="14" t="s">
        <v>766</v>
      </c>
      <c r="C15" s="13" t="s">
        <v>68</v>
      </c>
      <c r="D15" s="13" t="s">
        <v>69</v>
      </c>
      <c r="E15" s="15" t="s">
        <v>767</v>
      </c>
      <c r="F15" s="13" t="s">
        <v>58</v>
      </c>
      <c r="G15" s="13" t="s">
        <v>90</v>
      </c>
      <c r="H15" s="14" t="s">
        <v>141</v>
      </c>
    </row>
    <row r="16" customFormat="false" ht="15" hidden="false" customHeight="false" outlineLevel="0" collapsed="false">
      <c r="A16" s="13" t="s">
        <v>768</v>
      </c>
      <c r="B16" s="14" t="s">
        <v>769</v>
      </c>
      <c r="C16" s="13" t="s">
        <v>68</v>
      </c>
      <c r="D16" s="13" t="s">
        <v>69</v>
      </c>
      <c r="E16" s="15" t="s">
        <v>770</v>
      </c>
      <c r="F16" s="13" t="s">
        <v>58</v>
      </c>
      <c r="G16" s="13" t="s">
        <v>90</v>
      </c>
      <c r="H16" s="14" t="s">
        <v>141</v>
      </c>
    </row>
    <row r="17" customFormat="false" ht="15" hidden="false" customHeight="false" outlineLevel="0" collapsed="false">
      <c r="A17" s="13" t="s">
        <v>771</v>
      </c>
      <c r="B17" s="14" t="s">
        <v>772</v>
      </c>
      <c r="C17" s="13" t="s">
        <v>68</v>
      </c>
      <c r="D17" s="13" t="s">
        <v>69</v>
      </c>
      <c r="E17" s="15" t="s">
        <v>773</v>
      </c>
      <c r="F17" s="13" t="s">
        <v>58</v>
      </c>
      <c r="G17" s="13" t="s">
        <v>90</v>
      </c>
      <c r="H17" s="14" t="s">
        <v>141</v>
      </c>
    </row>
    <row r="18" customFormat="false" ht="15" hidden="false" customHeight="false" outlineLevel="0" collapsed="false">
      <c r="A18" s="13" t="s">
        <v>774</v>
      </c>
      <c r="B18" s="14" t="s">
        <v>775</v>
      </c>
      <c r="C18" s="13" t="s">
        <v>68</v>
      </c>
      <c r="D18" s="13" t="s">
        <v>69</v>
      </c>
      <c r="E18" s="15" t="s">
        <v>776</v>
      </c>
      <c r="F18" s="13" t="s">
        <v>58</v>
      </c>
      <c r="G18" s="13" t="s">
        <v>90</v>
      </c>
      <c r="H18" s="14" t="s">
        <v>141</v>
      </c>
    </row>
    <row r="19" customFormat="false" ht="15" hidden="false" customHeight="false" outlineLevel="0" collapsed="false">
      <c r="A19" s="13" t="s">
        <v>777</v>
      </c>
      <c r="B19" s="14" t="s">
        <v>778</v>
      </c>
      <c r="C19" s="13" t="s">
        <v>68</v>
      </c>
      <c r="D19" s="13" t="s">
        <v>69</v>
      </c>
      <c r="E19" s="15" t="s">
        <v>779</v>
      </c>
      <c r="F19" s="13" t="s">
        <v>58</v>
      </c>
      <c r="G19" s="13" t="s">
        <v>90</v>
      </c>
      <c r="H19" s="14" t="s">
        <v>141</v>
      </c>
    </row>
    <row r="20" customFormat="false" ht="15" hidden="false" customHeight="false" outlineLevel="0" collapsed="false">
      <c r="A20" s="13" t="s">
        <v>780</v>
      </c>
      <c r="B20" s="14" t="s">
        <v>781</v>
      </c>
      <c r="C20" s="13" t="s">
        <v>68</v>
      </c>
      <c r="D20" s="13" t="s">
        <v>69</v>
      </c>
      <c r="E20" s="15" t="s">
        <v>782</v>
      </c>
      <c r="F20" s="13" t="s">
        <v>58</v>
      </c>
      <c r="G20" s="13" t="s">
        <v>90</v>
      </c>
      <c r="H20" s="14" t="s">
        <v>141</v>
      </c>
    </row>
    <row r="21" customFormat="false" ht="15" hidden="false" customHeight="false" outlineLevel="0" collapsed="false">
      <c r="A21" s="13" t="s">
        <v>783</v>
      </c>
      <c r="B21" s="14" t="s">
        <v>784</v>
      </c>
      <c r="C21" s="13" t="s">
        <v>80</v>
      </c>
      <c r="D21" s="13" t="s">
        <v>75</v>
      </c>
      <c r="E21" s="15" t="s">
        <v>785</v>
      </c>
      <c r="F21" s="13" t="s">
        <v>58</v>
      </c>
      <c r="G21" s="13" t="s">
        <v>140</v>
      </c>
      <c r="H21" s="14" t="s">
        <v>141</v>
      </c>
    </row>
    <row r="22" customFormat="false" ht="15" hidden="false" customHeight="false" outlineLevel="0" collapsed="false">
      <c r="A22" s="13" t="s">
        <v>786</v>
      </c>
      <c r="B22" s="14" t="s">
        <v>787</v>
      </c>
      <c r="C22" s="13" t="s">
        <v>74</v>
      </c>
      <c r="D22" s="13" t="s">
        <v>75</v>
      </c>
      <c r="E22" s="15" t="s">
        <v>788</v>
      </c>
      <c r="F22" s="13" t="s">
        <v>58</v>
      </c>
      <c r="G22" s="13" t="s">
        <v>140</v>
      </c>
      <c r="H22" s="14" t="s">
        <v>141</v>
      </c>
    </row>
    <row r="23" customFormat="false" ht="15" hidden="false" customHeight="false" outlineLevel="0" collapsed="false">
      <c r="A23" s="13" t="s">
        <v>789</v>
      </c>
      <c r="B23" s="14" t="s">
        <v>790</v>
      </c>
      <c r="C23" s="13" t="s">
        <v>74</v>
      </c>
      <c r="D23" s="13" t="s">
        <v>75</v>
      </c>
      <c r="E23" s="15" t="s">
        <v>791</v>
      </c>
      <c r="F23" s="13" t="s">
        <v>58</v>
      </c>
      <c r="G23" s="13" t="s">
        <v>140</v>
      </c>
      <c r="H23" s="14" t="s">
        <v>141</v>
      </c>
    </row>
    <row r="24" customFormat="false" ht="15" hidden="false" customHeight="false" outlineLevel="0" collapsed="false">
      <c r="A24" s="13" t="s">
        <v>792</v>
      </c>
      <c r="B24" s="14" t="s">
        <v>793</v>
      </c>
      <c r="C24" s="13" t="s">
        <v>74</v>
      </c>
      <c r="D24" s="13" t="s">
        <v>75</v>
      </c>
      <c r="E24" s="15" t="s">
        <v>794</v>
      </c>
      <c r="F24" s="13" t="s">
        <v>58</v>
      </c>
      <c r="G24" s="13" t="s">
        <v>140</v>
      </c>
      <c r="H24" s="14" t="s">
        <v>141</v>
      </c>
    </row>
    <row r="25" customFormat="false" ht="15" hidden="false" customHeight="false" outlineLevel="0" collapsed="false">
      <c r="A25" s="13" t="s">
        <v>795</v>
      </c>
      <c r="B25" s="14" t="s">
        <v>796</v>
      </c>
      <c r="C25" s="13" t="s">
        <v>68</v>
      </c>
      <c r="D25" s="13" t="s">
        <v>69</v>
      </c>
      <c r="E25" s="15" t="s">
        <v>797</v>
      </c>
      <c r="F25" s="13" t="s">
        <v>58</v>
      </c>
      <c r="G25" s="13" t="s">
        <v>140</v>
      </c>
      <c r="H25" s="14" t="s">
        <v>141</v>
      </c>
    </row>
    <row r="26" customFormat="false" ht="15" hidden="false" customHeight="false" outlineLevel="0" collapsed="false">
      <c r="A26" s="13" t="s">
        <v>798</v>
      </c>
      <c r="B26" s="14" t="s">
        <v>799</v>
      </c>
      <c r="C26" s="13" t="s">
        <v>68</v>
      </c>
      <c r="D26" s="13" t="s">
        <v>69</v>
      </c>
      <c r="E26" s="15" t="s">
        <v>800</v>
      </c>
      <c r="F26" s="13" t="s">
        <v>58</v>
      </c>
      <c r="G26" s="13" t="s">
        <v>140</v>
      </c>
      <c r="H26" s="14" t="s">
        <v>141</v>
      </c>
    </row>
    <row r="27" customFormat="false" ht="23.85" hidden="false" customHeight="false" outlineLevel="0" collapsed="false">
      <c r="A27" s="13" t="s">
        <v>801</v>
      </c>
      <c r="B27" s="14" t="s">
        <v>802</v>
      </c>
      <c r="C27" s="13" t="s">
        <v>68</v>
      </c>
      <c r="D27" s="13" t="s">
        <v>471</v>
      </c>
      <c r="E27" s="15" t="s">
        <v>803</v>
      </c>
      <c r="F27" s="13" t="s">
        <v>58</v>
      </c>
      <c r="G27" s="13" t="s">
        <v>140</v>
      </c>
      <c r="H27" s="14" t="s">
        <v>495</v>
      </c>
    </row>
    <row r="28" customFormat="false" ht="15" hidden="false" customHeight="false" outlineLevel="0" collapsed="false">
      <c r="A28" s="13" t="s">
        <v>804</v>
      </c>
      <c r="B28" s="14" t="s">
        <v>805</v>
      </c>
      <c r="C28" s="13" t="s">
        <v>68</v>
      </c>
      <c r="D28" s="13" t="s">
        <v>69</v>
      </c>
      <c r="E28" s="15" t="s">
        <v>806</v>
      </c>
      <c r="F28" s="13" t="s">
        <v>58</v>
      </c>
      <c r="G28" s="13" t="s">
        <v>140</v>
      </c>
      <c r="H28" s="14" t="s">
        <v>141</v>
      </c>
    </row>
    <row r="29" customFormat="false" ht="15" hidden="false" customHeight="false" outlineLevel="0" collapsed="false">
      <c r="A29" s="13" t="s">
        <v>807</v>
      </c>
      <c r="B29" s="14" t="s">
        <v>808</v>
      </c>
      <c r="C29" s="13" t="s">
        <v>68</v>
      </c>
      <c r="D29" s="13" t="s">
        <v>69</v>
      </c>
      <c r="E29" s="15" t="s">
        <v>809</v>
      </c>
      <c r="F29" s="13" t="s">
        <v>58</v>
      </c>
      <c r="G29" s="13" t="s">
        <v>140</v>
      </c>
      <c r="H29" s="14" t="s">
        <v>141</v>
      </c>
    </row>
    <row r="30" customFormat="false" ht="15" hidden="false" customHeight="false" outlineLevel="0" collapsed="false">
      <c r="A30" s="11" t="s">
        <v>810</v>
      </c>
      <c r="B30" s="12"/>
      <c r="C30" s="12"/>
      <c r="D30" s="12"/>
      <c r="E30" s="12"/>
      <c r="F30" s="12"/>
      <c r="G30" s="12"/>
      <c r="H30" s="12"/>
    </row>
    <row r="31" customFormat="false" ht="23.85" hidden="false" customHeight="false" outlineLevel="0" collapsed="false">
      <c r="A31" s="13" t="s">
        <v>811</v>
      </c>
      <c r="B31" s="14" t="s">
        <v>812</v>
      </c>
      <c r="C31" s="13" t="s">
        <v>63</v>
      </c>
      <c r="D31" s="13" t="s">
        <v>56</v>
      </c>
      <c r="E31" s="15" t="s">
        <v>813</v>
      </c>
      <c r="F31" s="13" t="s">
        <v>212</v>
      </c>
      <c r="G31" s="13" t="s">
        <v>59</v>
      </c>
      <c r="H31" s="14" t="s">
        <v>814</v>
      </c>
    </row>
    <row r="32" customFormat="false" ht="15" hidden="false" customHeight="false" outlineLevel="0" collapsed="false">
      <c r="A32" s="11" t="s">
        <v>700</v>
      </c>
      <c r="B32" s="12"/>
      <c r="C32" s="12"/>
      <c r="D32" s="12"/>
      <c r="E32" s="12"/>
      <c r="F32" s="12"/>
      <c r="G32" s="12"/>
      <c r="H32" s="12"/>
    </row>
    <row r="33" customFormat="false" ht="15" hidden="false" customHeight="false" outlineLevel="0" collapsed="false">
      <c r="A33" s="13" t="s">
        <v>709</v>
      </c>
      <c r="B33" s="14" t="s">
        <v>710</v>
      </c>
      <c r="C33" s="13" t="s">
        <v>74</v>
      </c>
      <c r="D33" s="13" t="s">
        <v>56</v>
      </c>
      <c r="E33" s="15" t="s">
        <v>711</v>
      </c>
      <c r="F33" s="13" t="s">
        <v>212</v>
      </c>
      <c r="G33" s="13" t="s">
        <v>90</v>
      </c>
      <c r="H33" s="14" t="s">
        <v>815</v>
      </c>
    </row>
    <row r="34" customFormat="false" ht="15" hidden="false" customHeight="false" outlineLevel="0" collapsed="false">
      <c r="A34" s="13" t="s">
        <v>816</v>
      </c>
      <c r="B34" s="14" t="s">
        <v>817</v>
      </c>
      <c r="C34" s="13" t="s">
        <v>74</v>
      </c>
      <c r="D34" s="13" t="s">
        <v>56</v>
      </c>
      <c r="E34" s="15" t="s">
        <v>818</v>
      </c>
      <c r="F34" s="13" t="s">
        <v>212</v>
      </c>
      <c r="G34" s="13" t="s">
        <v>90</v>
      </c>
      <c r="H34" s="14" t="s">
        <v>819</v>
      </c>
    </row>
    <row r="35" customFormat="false" ht="15" hidden="false" customHeight="false" outlineLevel="0" collapsed="false">
      <c r="A35" s="13" t="s">
        <v>820</v>
      </c>
      <c r="B35" s="14" t="s">
        <v>821</v>
      </c>
      <c r="C35" s="13" t="s">
        <v>74</v>
      </c>
      <c r="D35" s="13" t="s">
        <v>56</v>
      </c>
      <c r="E35" s="15" t="s">
        <v>822</v>
      </c>
      <c r="F35" s="13" t="s">
        <v>212</v>
      </c>
      <c r="G35" s="13" t="s">
        <v>90</v>
      </c>
      <c r="H35" s="14" t="s">
        <v>823</v>
      </c>
    </row>
    <row r="36" customFormat="false" ht="15" hidden="false" customHeight="false" outlineLevel="0" collapsed="false">
      <c r="A36" s="13" t="s">
        <v>824</v>
      </c>
      <c r="B36" s="14" t="s">
        <v>825</v>
      </c>
      <c r="C36" s="13" t="s">
        <v>74</v>
      </c>
      <c r="D36" s="13" t="s">
        <v>56</v>
      </c>
      <c r="E36" s="15" t="s">
        <v>826</v>
      </c>
      <c r="F36" s="13" t="s">
        <v>212</v>
      </c>
      <c r="G36" s="13" t="s">
        <v>90</v>
      </c>
      <c r="H36" s="14" t="s">
        <v>827</v>
      </c>
    </row>
    <row r="37" customFormat="false" ht="15" hidden="false" customHeight="false" outlineLevel="0" collapsed="false">
      <c r="A37" s="13" t="s">
        <v>828</v>
      </c>
      <c r="B37" s="14" t="s">
        <v>829</v>
      </c>
      <c r="C37" s="13" t="s">
        <v>74</v>
      </c>
      <c r="D37" s="13" t="s">
        <v>56</v>
      </c>
      <c r="E37" s="15" t="s">
        <v>830</v>
      </c>
      <c r="F37" s="13" t="s">
        <v>212</v>
      </c>
      <c r="G37" s="13" t="s">
        <v>140</v>
      </c>
      <c r="H37" s="14" t="s">
        <v>831</v>
      </c>
    </row>
    <row r="38" customFormat="false" ht="15" hidden="false" customHeight="false" outlineLevel="0" collapsed="false">
      <c r="A38" s="13" t="s">
        <v>832</v>
      </c>
      <c r="B38" s="14" t="s">
        <v>833</v>
      </c>
      <c r="C38" s="13" t="s">
        <v>74</v>
      </c>
      <c r="D38" s="13" t="s">
        <v>56</v>
      </c>
      <c r="E38" s="15" t="s">
        <v>834</v>
      </c>
      <c r="F38" s="13" t="s">
        <v>212</v>
      </c>
      <c r="G38" s="13" t="s">
        <v>140</v>
      </c>
      <c r="H38" s="14" t="s">
        <v>835</v>
      </c>
    </row>
    <row r="39" customFormat="false" ht="15" hidden="false" customHeight="false" outlineLevel="0" collapsed="false">
      <c r="A39" s="13" t="s">
        <v>836</v>
      </c>
      <c r="B39" s="14" t="s">
        <v>837</v>
      </c>
      <c r="C39" s="13" t="s">
        <v>74</v>
      </c>
      <c r="D39" s="13" t="s">
        <v>56</v>
      </c>
      <c r="E39" s="15" t="s">
        <v>838</v>
      </c>
      <c r="F39" s="13" t="s">
        <v>212</v>
      </c>
      <c r="G39" s="13" t="s">
        <v>140</v>
      </c>
      <c r="H39" s="14" t="s">
        <v>839</v>
      </c>
    </row>
    <row r="40" customFormat="false" ht="15" hidden="false" customHeight="false" outlineLevel="0" collapsed="false">
      <c r="A40" s="11" t="s">
        <v>840</v>
      </c>
      <c r="B40" s="12"/>
      <c r="C40" s="12"/>
      <c r="D40" s="12"/>
      <c r="E40" s="12"/>
      <c r="F40" s="12"/>
      <c r="G40" s="12"/>
      <c r="H40" s="12"/>
    </row>
    <row r="41" customFormat="false" ht="23.85" hidden="false" customHeight="false" outlineLevel="0" collapsed="false">
      <c r="A41" s="13" t="s">
        <v>841</v>
      </c>
      <c r="B41" s="14" t="s">
        <v>842</v>
      </c>
      <c r="C41" s="13" t="s">
        <v>68</v>
      </c>
      <c r="D41" s="13" t="s">
        <v>471</v>
      </c>
      <c r="E41" s="15" t="s">
        <v>555</v>
      </c>
      <c r="F41" s="13" t="s">
        <v>271</v>
      </c>
      <c r="G41" s="13" t="s">
        <v>59</v>
      </c>
      <c r="H41" s="14" t="s">
        <v>843</v>
      </c>
    </row>
    <row r="43" customFormat="false" ht="15" hidden="false" customHeight="false" outlineLevel="0" collapsed="false">
      <c r="A43" s="7" t="s">
        <v>304</v>
      </c>
    </row>
    <row r="44" customFormat="false" ht="26.85" hidden="false" customHeight="false" outlineLevel="0" collapsed="false">
      <c r="A44" s="3" t="s">
        <v>305</v>
      </c>
      <c r="B44" s="3" t="s">
        <v>306</v>
      </c>
      <c r="C44" s="3" t="s">
        <v>307</v>
      </c>
      <c r="D44" s="3" t="s">
        <v>308</v>
      </c>
    </row>
    <row r="45" customFormat="false" ht="23.85" hidden="false" customHeight="false" outlineLevel="0" collapsed="false">
      <c r="A45" s="14" t="n">
        <v>358</v>
      </c>
      <c r="B45" s="14" t="s">
        <v>844</v>
      </c>
      <c r="C45" s="14" t="s">
        <v>845</v>
      </c>
      <c r="D45" s="14" t="s">
        <v>811</v>
      </c>
    </row>
    <row r="46" customFormat="false" ht="68.65" hidden="false" customHeight="false" outlineLevel="0" collapsed="false">
      <c r="A46" s="14" t="n">
        <v>24</v>
      </c>
      <c r="B46" s="14" t="s">
        <v>846</v>
      </c>
      <c r="C46" s="14" t="s">
        <v>847</v>
      </c>
      <c r="D46" s="14" t="s">
        <v>811</v>
      </c>
    </row>
    <row r="47" customFormat="false" ht="68.65" hidden="false" customHeight="false" outlineLevel="0" collapsed="false">
      <c r="A47" s="14" t="n">
        <v>168</v>
      </c>
      <c r="B47" s="14" t="s">
        <v>848</v>
      </c>
      <c r="C47" s="14" t="s">
        <v>849</v>
      </c>
      <c r="D47" s="14" t="s">
        <v>841</v>
      </c>
    </row>
  </sheetData>
  <hyperlinks>
    <hyperlink ref="E6" r:id="rId1" display="http://www.secretariasenado.gov.co/senado/basedoc/?q=Codigo%20general%20proceso"/>
    <hyperlink ref="E7" r:id="rId2" display="http://www.secretariasenado.gov.co/senado/basedoc/?q=Estatuto%20tributario"/>
    <hyperlink ref="E8" r:id="rId3" display="http://www.secretariasenado.gov.co/senado/basedoc/?q=Estatuto%20consumidor"/>
    <hyperlink ref="E9" r:id="rId4" display="https://www.suin-juriscol.gov.co/legislacion/?q=Ley%202220%20de%202022"/>
    <hyperlink ref="E10" r:id="rId5" display="https://www.suin-juriscol.gov.co/legislacion/?q=Ley%20153%20de%201887"/>
    <hyperlink ref="E11" r:id="rId6" display="https://www.corteconstitucional.gov.co/relatoria/?q=Sentencia%20SU-455%20de%202020"/>
    <hyperlink ref="E12" r:id="rId7" display="https://www.suin-juriscol.gov.co/legislacion/?q=Ley%202437%20de%202024"/>
    <hyperlink ref="E13" r:id="rId8" display="https://www.corteconstitucional.gov.co/relatoria/?q=Sentencia%20SU-315%20de%202025"/>
    <hyperlink ref="E14" r:id="rId9" display="https://www.corteconstitucional.gov.co/relatoria/?q=Sentencia%20C-748%20de%202011"/>
    <hyperlink ref="E15" r:id="rId10" display="https://www.corteconstitucional.gov.co/relatoria/?q=Sentencia%20SU-138%20de%202024"/>
    <hyperlink ref="E16" r:id="rId11" display="https://www.corteconstitucional.gov.co/relatoria/?q=Sentencia%20SU-207%20de%202022"/>
    <hyperlink ref="E17" r:id="rId12" display="https://www.corteconstitucional.gov.co/relatoria/?q=Sentencia%20SU-380%20de%202021"/>
    <hyperlink ref="E18" r:id="rId13" display="https://www.corteconstitucional.gov.co/relatoria/?q=Sentencia%20SU-425%20de%202025"/>
    <hyperlink ref="E19" r:id="rId14" display="https://www.corteconstitucional.gov.co/relatoria/?q=Sentencia%20SU-431%20de%202015"/>
    <hyperlink ref="E20" r:id="rId15" display="https://www.corteconstitucional.gov.co/relatoria/?q=Sentencia%20SU-500%20de%202015"/>
    <hyperlink ref="E21" r:id="rId16" display="https://www.suin-juriscol.gov.co/legislacion/?q=Decreto%20960%20de%201970"/>
    <hyperlink ref="E22" r:id="rId17" display="https://www.suin-juriscol.gov.co/legislacion/?q=Ley%20160%20de%201994"/>
    <hyperlink ref="E23" r:id="rId18" display="https://www.suin-juriscol.gov.co/legislacion/?q=Ley%202251%20de%202022"/>
    <hyperlink ref="E24" r:id="rId19" display="https://www.suin-juriscol.gov.co/legislacion/?q=Ley%20769%20de%202002"/>
    <hyperlink ref="E25" r:id="rId20" display="https://www.corteconstitucional.gov.co/relatoria/?q=Sentencia%20C-183%20de%202025"/>
    <hyperlink ref="E26" r:id="rId21" display="https://www.corteconstitucional.gov.co/relatoria/?q=Sentencia%20C-345%20de%202017"/>
    <hyperlink ref="E27" r:id="rId22" display="https://www.corteconstitucional.gov.co/relatoria/?q=Sentencia%20SC-1121%20de%202018"/>
    <hyperlink ref="E28" r:id="rId23" display="https://www.corteconstitucional.gov.co/relatoria/?q=Sentencia%20T-4%20de%202026"/>
    <hyperlink ref="E29" r:id="rId24" display="https://www.corteconstitucional.gov.co/relatoria/?q=Sentencia%20T-26%20de%202025"/>
    <hyperlink ref="E31" r:id="rId25" display="http://www.secretariasenado.gov.co/senado/basedoc/codigo_civil.html"/>
    <hyperlink ref="E33" r:id="rId26" display="http://www.secretariasenado.gov.co/senado/basedoc/ley_1676_2013.html"/>
    <hyperlink ref="E34" r:id="rId27" display="http://www.secretariasenado.gov.co/senado/basedoc/ley_1996_2019.html"/>
    <hyperlink ref="E35" r:id="rId28" display="http://www.secretariasenado.gov.co/senado/basedoc/ley_0675_2001.html"/>
    <hyperlink ref="E36" r:id="rId29" display="http://www.secretariasenado.gov.co/senado/basedoc/ley_0791_2002.html"/>
    <hyperlink ref="E37" r:id="rId30" display="http://www.secretariasenado.gov.co/senado/basedoc/ley_1561_2012.html"/>
    <hyperlink ref="E38" r:id="rId31" display="http://www.secretariasenado.gov.co/senado/basedoc/ley_1579_2012.html"/>
    <hyperlink ref="E39" r:id="rId32" display="http://www.secretariasenado.gov.co/senado/basedoc/ley_0258_1996.html"/>
    <hyperlink ref="E41" r:id="rId33" display="https://cortesuprema.gov.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850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851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23.85" hidden="false" customHeight="false" outlineLevel="0" collapsed="false">
      <c r="A7" s="13" t="s">
        <v>465</v>
      </c>
      <c r="B7" s="14" t="s">
        <v>466</v>
      </c>
      <c r="C7" s="13" t="s">
        <v>63</v>
      </c>
      <c r="D7" s="13" t="s">
        <v>56</v>
      </c>
      <c r="E7" s="15" t="s">
        <v>467</v>
      </c>
      <c r="F7" s="13" t="s">
        <v>58</v>
      </c>
      <c r="G7" s="13" t="s">
        <v>59</v>
      </c>
      <c r="H7" s="14" t="s">
        <v>468</v>
      </c>
    </row>
    <row r="8" customFormat="false" ht="23.85" hidden="false" customHeight="false" outlineLevel="0" collapsed="false">
      <c r="A8" s="13" t="s">
        <v>852</v>
      </c>
      <c r="B8" s="14" t="s">
        <v>853</v>
      </c>
      <c r="C8" s="13" t="s">
        <v>63</v>
      </c>
      <c r="D8" s="13" t="s">
        <v>56</v>
      </c>
      <c r="E8" s="15" t="s">
        <v>854</v>
      </c>
      <c r="F8" s="13" t="s">
        <v>58</v>
      </c>
      <c r="G8" s="13" t="s">
        <v>59</v>
      </c>
      <c r="H8" s="14" t="s">
        <v>855</v>
      </c>
    </row>
    <row r="9" customFormat="false" ht="15" hidden="false" customHeight="false" outlineLevel="0" collapsed="false">
      <c r="A9" s="13" t="s">
        <v>856</v>
      </c>
      <c r="B9" s="14" t="s">
        <v>857</v>
      </c>
      <c r="C9" s="13" t="s">
        <v>74</v>
      </c>
      <c r="D9" s="13" t="s">
        <v>75</v>
      </c>
      <c r="E9" s="15" t="s">
        <v>858</v>
      </c>
      <c r="F9" s="13" t="s">
        <v>58</v>
      </c>
      <c r="G9" s="13" t="s">
        <v>59</v>
      </c>
      <c r="H9" s="14" t="s">
        <v>95</v>
      </c>
    </row>
    <row r="10" customFormat="false" ht="15" hidden="false" customHeight="false" outlineLevel="0" collapsed="false">
      <c r="A10" s="13" t="s">
        <v>859</v>
      </c>
      <c r="B10" s="14" t="s">
        <v>860</v>
      </c>
      <c r="C10" s="13" t="s">
        <v>74</v>
      </c>
      <c r="D10" s="13" t="s">
        <v>75</v>
      </c>
      <c r="E10" s="15" t="s">
        <v>861</v>
      </c>
      <c r="F10" s="13" t="s">
        <v>58</v>
      </c>
      <c r="G10" s="13" t="s">
        <v>59</v>
      </c>
      <c r="H10" s="14" t="s">
        <v>95</v>
      </c>
    </row>
    <row r="11" customFormat="false" ht="15" hidden="false" customHeight="false" outlineLevel="0" collapsed="false">
      <c r="A11" s="13" t="s">
        <v>862</v>
      </c>
      <c r="B11" s="14" t="s">
        <v>863</v>
      </c>
      <c r="C11" s="13" t="s">
        <v>68</v>
      </c>
      <c r="D11" s="13" t="s">
        <v>69</v>
      </c>
      <c r="E11" s="15" t="s">
        <v>864</v>
      </c>
      <c r="F11" s="13" t="s">
        <v>58</v>
      </c>
      <c r="G11" s="13" t="s">
        <v>59</v>
      </c>
      <c r="H11" s="14" t="s">
        <v>865</v>
      </c>
    </row>
    <row r="12" customFormat="false" ht="15" hidden="false" customHeight="false" outlineLevel="0" collapsed="false">
      <c r="A12" s="13" t="s">
        <v>96</v>
      </c>
      <c r="B12" s="14" t="s">
        <v>97</v>
      </c>
      <c r="C12" s="13" t="s">
        <v>68</v>
      </c>
      <c r="D12" s="13" t="s">
        <v>69</v>
      </c>
      <c r="E12" s="15" t="s">
        <v>98</v>
      </c>
      <c r="F12" s="13" t="s">
        <v>58</v>
      </c>
      <c r="G12" s="13" t="s">
        <v>90</v>
      </c>
      <c r="H12" s="14" t="s">
        <v>95</v>
      </c>
    </row>
    <row r="13" customFormat="false" ht="15" hidden="false" customHeight="false" outlineLevel="0" collapsed="false">
      <c r="A13" s="13" t="s">
        <v>866</v>
      </c>
      <c r="B13" s="14" t="s">
        <v>867</v>
      </c>
      <c r="C13" s="13" t="s">
        <v>68</v>
      </c>
      <c r="D13" s="13" t="s">
        <v>69</v>
      </c>
      <c r="E13" s="15" t="s">
        <v>868</v>
      </c>
      <c r="F13" s="13" t="s">
        <v>58</v>
      </c>
      <c r="G13" s="13" t="s">
        <v>90</v>
      </c>
      <c r="H13" s="14" t="s">
        <v>105</v>
      </c>
    </row>
    <row r="14" customFormat="false" ht="15" hidden="false" customHeight="false" outlineLevel="0" collapsed="false">
      <c r="A14" s="13" t="s">
        <v>118</v>
      </c>
      <c r="B14" s="14" t="s">
        <v>119</v>
      </c>
      <c r="C14" s="13" t="s">
        <v>68</v>
      </c>
      <c r="D14" s="13" t="s">
        <v>69</v>
      </c>
      <c r="E14" s="15" t="s">
        <v>120</v>
      </c>
      <c r="F14" s="13" t="s">
        <v>58</v>
      </c>
      <c r="G14" s="13" t="s">
        <v>90</v>
      </c>
      <c r="H14" s="14" t="s">
        <v>105</v>
      </c>
    </row>
    <row r="15" customFormat="false" ht="15" hidden="false" customHeight="false" outlineLevel="0" collapsed="false">
      <c r="A15" s="13" t="s">
        <v>869</v>
      </c>
      <c r="B15" s="14" t="s">
        <v>870</v>
      </c>
      <c r="C15" s="13" t="s">
        <v>68</v>
      </c>
      <c r="D15" s="13" t="s">
        <v>69</v>
      </c>
      <c r="E15" s="15" t="s">
        <v>871</v>
      </c>
      <c r="F15" s="13" t="s">
        <v>58</v>
      </c>
      <c r="G15" s="13" t="s">
        <v>90</v>
      </c>
      <c r="H15" s="14" t="s">
        <v>105</v>
      </c>
    </row>
    <row r="16" customFormat="false" ht="15" hidden="false" customHeight="false" outlineLevel="0" collapsed="false">
      <c r="A16" s="13" t="s">
        <v>130</v>
      </c>
      <c r="B16" s="14" t="s">
        <v>131</v>
      </c>
      <c r="C16" s="13" t="s">
        <v>68</v>
      </c>
      <c r="D16" s="13" t="s">
        <v>69</v>
      </c>
      <c r="E16" s="15" t="s">
        <v>132</v>
      </c>
      <c r="F16" s="13" t="s">
        <v>58</v>
      </c>
      <c r="G16" s="13" t="s">
        <v>90</v>
      </c>
      <c r="H16" s="14" t="s">
        <v>105</v>
      </c>
    </row>
    <row r="17" customFormat="false" ht="23.85" hidden="false" customHeight="false" outlineLevel="0" collapsed="false">
      <c r="A17" s="13" t="s">
        <v>872</v>
      </c>
      <c r="B17" s="14" t="s">
        <v>873</v>
      </c>
      <c r="C17" s="13" t="s">
        <v>68</v>
      </c>
      <c r="D17" s="13" t="s">
        <v>69</v>
      </c>
      <c r="E17" s="15" t="s">
        <v>874</v>
      </c>
      <c r="F17" s="13" t="s">
        <v>58</v>
      </c>
      <c r="G17" s="13" t="s">
        <v>90</v>
      </c>
      <c r="H17" s="14" t="s">
        <v>105</v>
      </c>
    </row>
    <row r="18" customFormat="false" ht="15" hidden="false" customHeight="false" outlineLevel="0" collapsed="false">
      <c r="A18" s="13" t="s">
        <v>875</v>
      </c>
      <c r="B18" s="14" t="s">
        <v>876</v>
      </c>
      <c r="C18" s="13" t="s">
        <v>80</v>
      </c>
      <c r="D18" s="13" t="s">
        <v>75</v>
      </c>
      <c r="E18" s="15" t="s">
        <v>877</v>
      </c>
      <c r="F18" s="13" t="s">
        <v>58</v>
      </c>
      <c r="G18" s="13" t="s">
        <v>140</v>
      </c>
      <c r="H18" s="14" t="s">
        <v>141</v>
      </c>
    </row>
    <row r="19" customFormat="false" ht="15" hidden="false" customHeight="false" outlineLevel="0" collapsed="false">
      <c r="A19" s="13" t="s">
        <v>878</v>
      </c>
      <c r="B19" s="14" t="s">
        <v>879</v>
      </c>
      <c r="C19" s="13" t="s">
        <v>74</v>
      </c>
      <c r="D19" s="13" t="s">
        <v>75</v>
      </c>
      <c r="E19" s="15" t="s">
        <v>880</v>
      </c>
      <c r="F19" s="13" t="s">
        <v>58</v>
      </c>
      <c r="G19" s="13" t="s">
        <v>140</v>
      </c>
      <c r="H19" s="14" t="s">
        <v>141</v>
      </c>
    </row>
    <row r="20" customFormat="false" ht="15" hidden="false" customHeight="false" outlineLevel="0" collapsed="false">
      <c r="A20" s="13" t="s">
        <v>881</v>
      </c>
      <c r="B20" s="14" t="s">
        <v>882</v>
      </c>
      <c r="C20" s="13" t="s">
        <v>74</v>
      </c>
      <c r="D20" s="13" t="s">
        <v>75</v>
      </c>
      <c r="E20" s="15" t="s">
        <v>883</v>
      </c>
      <c r="F20" s="13" t="s">
        <v>58</v>
      </c>
      <c r="G20" s="13" t="s">
        <v>140</v>
      </c>
      <c r="H20" s="14" t="s">
        <v>141</v>
      </c>
    </row>
    <row r="21" customFormat="false" ht="15" hidden="false" customHeight="false" outlineLevel="0" collapsed="false">
      <c r="A21" s="13" t="s">
        <v>884</v>
      </c>
      <c r="B21" s="14" t="s">
        <v>885</v>
      </c>
      <c r="C21" s="13" t="s">
        <v>74</v>
      </c>
      <c r="D21" s="13" t="s">
        <v>75</v>
      </c>
      <c r="E21" s="15" t="s">
        <v>886</v>
      </c>
      <c r="F21" s="13" t="s">
        <v>58</v>
      </c>
      <c r="G21" s="13" t="s">
        <v>140</v>
      </c>
      <c r="H21" s="14" t="s">
        <v>141</v>
      </c>
    </row>
    <row r="22" customFormat="false" ht="15" hidden="false" customHeight="false" outlineLevel="0" collapsed="false">
      <c r="A22" s="13" t="s">
        <v>887</v>
      </c>
      <c r="B22" s="14" t="s">
        <v>888</v>
      </c>
      <c r="C22" s="13" t="s">
        <v>68</v>
      </c>
      <c r="D22" s="13" t="s">
        <v>69</v>
      </c>
      <c r="E22" s="15" t="s">
        <v>889</v>
      </c>
      <c r="F22" s="13" t="s">
        <v>58</v>
      </c>
      <c r="G22" s="13" t="s">
        <v>140</v>
      </c>
      <c r="H22" s="14" t="s">
        <v>141</v>
      </c>
    </row>
    <row r="23" customFormat="false" ht="15" hidden="false" customHeight="false" outlineLevel="0" collapsed="false">
      <c r="A23" s="13" t="s">
        <v>890</v>
      </c>
      <c r="B23" s="14" t="s">
        <v>891</v>
      </c>
      <c r="C23" s="13" t="s">
        <v>68</v>
      </c>
      <c r="D23" s="13" t="s">
        <v>69</v>
      </c>
      <c r="E23" s="15" t="s">
        <v>892</v>
      </c>
      <c r="F23" s="13" t="s">
        <v>58</v>
      </c>
      <c r="G23" s="13" t="s">
        <v>140</v>
      </c>
      <c r="H23" s="14" t="s">
        <v>141</v>
      </c>
    </row>
    <row r="24" customFormat="false" ht="15" hidden="false" customHeight="false" outlineLevel="0" collapsed="false">
      <c r="A24" s="13" t="s">
        <v>893</v>
      </c>
      <c r="B24" s="14" t="s">
        <v>894</v>
      </c>
      <c r="C24" s="13" t="s">
        <v>68</v>
      </c>
      <c r="D24" s="13" t="s">
        <v>69</v>
      </c>
      <c r="E24" s="15" t="s">
        <v>895</v>
      </c>
      <c r="F24" s="13" t="s">
        <v>58</v>
      </c>
      <c r="G24" s="13" t="s">
        <v>140</v>
      </c>
      <c r="H24" s="14" t="s">
        <v>141</v>
      </c>
    </row>
    <row r="25" customFormat="false" ht="15" hidden="false" customHeight="false" outlineLevel="0" collapsed="false">
      <c r="A25" s="13" t="s">
        <v>896</v>
      </c>
      <c r="B25" s="14" t="s">
        <v>897</v>
      </c>
      <c r="C25" s="13" t="s">
        <v>68</v>
      </c>
      <c r="D25" s="13" t="s">
        <v>69</v>
      </c>
      <c r="E25" s="15" t="s">
        <v>898</v>
      </c>
      <c r="F25" s="13" t="s">
        <v>58</v>
      </c>
      <c r="G25" s="13" t="s">
        <v>140</v>
      </c>
      <c r="H25" s="14" t="s">
        <v>141</v>
      </c>
    </row>
    <row r="26" customFormat="false" ht="23.85" hidden="false" customHeight="false" outlineLevel="0" collapsed="false">
      <c r="A26" s="13" t="s">
        <v>899</v>
      </c>
      <c r="B26" s="14" t="s">
        <v>900</v>
      </c>
      <c r="C26" s="13" t="s">
        <v>68</v>
      </c>
      <c r="D26" s="13" t="s">
        <v>69</v>
      </c>
      <c r="E26" s="15" t="s">
        <v>901</v>
      </c>
      <c r="F26" s="13" t="s">
        <v>58</v>
      </c>
      <c r="G26" s="13" t="s">
        <v>140</v>
      </c>
      <c r="H26" s="14" t="s">
        <v>141</v>
      </c>
    </row>
    <row r="27" customFormat="false" ht="15" hidden="false" customHeight="false" outlineLevel="0" collapsed="false">
      <c r="A27" s="13" t="s">
        <v>902</v>
      </c>
      <c r="B27" s="14" t="s">
        <v>903</v>
      </c>
      <c r="C27" s="13" t="s">
        <v>68</v>
      </c>
      <c r="D27" s="13" t="s">
        <v>69</v>
      </c>
      <c r="E27" s="15" t="s">
        <v>904</v>
      </c>
      <c r="F27" s="13" t="s">
        <v>58</v>
      </c>
      <c r="G27" s="13" t="s">
        <v>140</v>
      </c>
      <c r="H27" s="14" t="s">
        <v>141</v>
      </c>
    </row>
    <row r="28" customFormat="false" ht="15" hidden="false" customHeight="false" outlineLevel="0" collapsed="false">
      <c r="A28" s="13" t="s">
        <v>905</v>
      </c>
      <c r="B28" s="14" t="s">
        <v>906</v>
      </c>
      <c r="C28" s="13" t="s">
        <v>68</v>
      </c>
      <c r="D28" s="13" t="s">
        <v>69</v>
      </c>
      <c r="E28" s="15" t="s">
        <v>907</v>
      </c>
      <c r="F28" s="13" t="s">
        <v>58</v>
      </c>
      <c r="G28" s="13" t="s">
        <v>140</v>
      </c>
      <c r="H28" s="14" t="s">
        <v>141</v>
      </c>
    </row>
    <row r="29" customFormat="false" ht="23.85" hidden="false" customHeight="false" outlineLevel="0" collapsed="false">
      <c r="A29" s="13" t="s">
        <v>908</v>
      </c>
      <c r="B29" s="14" t="s">
        <v>909</v>
      </c>
      <c r="C29" s="13" t="s">
        <v>68</v>
      </c>
      <c r="D29" s="13" t="s">
        <v>471</v>
      </c>
      <c r="E29" s="15" t="s">
        <v>910</v>
      </c>
      <c r="F29" s="13" t="s">
        <v>58</v>
      </c>
      <c r="G29" s="13" t="s">
        <v>140</v>
      </c>
      <c r="H29" s="14" t="s">
        <v>495</v>
      </c>
    </row>
    <row r="30" customFormat="false" ht="15" hidden="false" customHeight="false" outlineLevel="0" collapsed="false">
      <c r="A30" s="13" t="s">
        <v>911</v>
      </c>
      <c r="B30" s="14" t="s">
        <v>912</v>
      </c>
      <c r="C30" s="13" t="s">
        <v>68</v>
      </c>
      <c r="D30" s="13" t="s">
        <v>69</v>
      </c>
      <c r="E30" s="15" t="s">
        <v>913</v>
      </c>
      <c r="F30" s="13" t="s">
        <v>58</v>
      </c>
      <c r="G30" s="13" t="s">
        <v>140</v>
      </c>
      <c r="H30" s="14" t="s">
        <v>141</v>
      </c>
    </row>
    <row r="31" customFormat="false" ht="15" hidden="false" customHeight="false" outlineLevel="0" collapsed="false">
      <c r="A31" s="13" t="s">
        <v>914</v>
      </c>
      <c r="B31" s="14" t="s">
        <v>915</v>
      </c>
      <c r="C31" s="13" t="s">
        <v>68</v>
      </c>
      <c r="D31" s="13" t="s">
        <v>69</v>
      </c>
      <c r="E31" s="15" t="s">
        <v>916</v>
      </c>
      <c r="F31" s="13" t="s">
        <v>58</v>
      </c>
      <c r="G31" s="13" t="s">
        <v>140</v>
      </c>
      <c r="H31" s="14" t="s">
        <v>141</v>
      </c>
    </row>
    <row r="32" customFormat="false" ht="15" hidden="false" customHeight="false" outlineLevel="0" collapsed="false">
      <c r="A32" s="13" t="s">
        <v>917</v>
      </c>
      <c r="B32" s="14" t="s">
        <v>918</v>
      </c>
      <c r="C32" s="13" t="s">
        <v>68</v>
      </c>
      <c r="D32" s="13" t="s">
        <v>69</v>
      </c>
      <c r="E32" s="15" t="s">
        <v>919</v>
      </c>
      <c r="F32" s="13" t="s">
        <v>58</v>
      </c>
      <c r="G32" s="13" t="s">
        <v>140</v>
      </c>
      <c r="H32" s="14" t="s">
        <v>141</v>
      </c>
    </row>
    <row r="33" customFormat="false" ht="15" hidden="false" customHeight="false" outlineLevel="0" collapsed="false">
      <c r="A33" s="13" t="s">
        <v>920</v>
      </c>
      <c r="B33" s="14" t="s">
        <v>921</v>
      </c>
      <c r="C33" s="13" t="s">
        <v>68</v>
      </c>
      <c r="D33" s="13" t="s">
        <v>69</v>
      </c>
      <c r="E33" s="15" t="s">
        <v>922</v>
      </c>
      <c r="F33" s="13" t="s">
        <v>58</v>
      </c>
      <c r="G33" s="13" t="s">
        <v>140</v>
      </c>
      <c r="H33" s="14" t="s">
        <v>141</v>
      </c>
    </row>
    <row r="34" customFormat="false" ht="15" hidden="false" customHeight="false" outlineLevel="0" collapsed="false">
      <c r="A34" s="13" t="s">
        <v>923</v>
      </c>
      <c r="B34" s="14" t="s">
        <v>924</v>
      </c>
      <c r="C34" s="13" t="s">
        <v>68</v>
      </c>
      <c r="D34" s="13" t="s">
        <v>69</v>
      </c>
      <c r="E34" s="15" t="s">
        <v>925</v>
      </c>
      <c r="F34" s="13" t="s">
        <v>58</v>
      </c>
      <c r="G34" s="13" t="s">
        <v>140</v>
      </c>
      <c r="H34" s="14" t="s">
        <v>141</v>
      </c>
    </row>
    <row r="35" customFormat="false" ht="15" hidden="false" customHeight="false" outlineLevel="0" collapsed="false">
      <c r="A35" s="11" t="s">
        <v>810</v>
      </c>
      <c r="B35" s="12"/>
      <c r="C35" s="12"/>
      <c r="D35" s="12"/>
      <c r="E35" s="12"/>
      <c r="F35" s="12"/>
      <c r="G35" s="12"/>
      <c r="H35" s="12"/>
    </row>
    <row r="36" customFormat="false" ht="23.85" hidden="false" customHeight="false" outlineLevel="0" collapsed="false">
      <c r="A36" s="13" t="s">
        <v>811</v>
      </c>
      <c r="B36" s="14" t="s">
        <v>812</v>
      </c>
      <c r="C36" s="13" t="s">
        <v>63</v>
      </c>
      <c r="D36" s="13" t="s">
        <v>56</v>
      </c>
      <c r="E36" s="15" t="s">
        <v>813</v>
      </c>
      <c r="F36" s="13" t="s">
        <v>212</v>
      </c>
      <c r="G36" s="13" t="s">
        <v>59</v>
      </c>
      <c r="H36" s="14" t="s">
        <v>926</v>
      </c>
    </row>
    <row r="37" customFormat="false" ht="15" hidden="false" customHeight="false" outlineLevel="0" collapsed="false">
      <c r="A37" s="11" t="s">
        <v>927</v>
      </c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A38" s="13" t="s">
        <v>928</v>
      </c>
      <c r="B38" s="14" t="s">
        <v>929</v>
      </c>
      <c r="C38" s="13" t="s">
        <v>74</v>
      </c>
      <c r="D38" s="13" t="s">
        <v>56</v>
      </c>
      <c r="E38" s="15" t="s">
        <v>930</v>
      </c>
      <c r="F38" s="13" t="s">
        <v>212</v>
      </c>
      <c r="G38" s="13" t="s">
        <v>90</v>
      </c>
      <c r="H38" s="14" t="s">
        <v>931</v>
      </c>
    </row>
    <row r="39" customFormat="false" ht="15" hidden="false" customHeight="false" outlineLevel="0" collapsed="false">
      <c r="A39" s="13" t="s">
        <v>512</v>
      </c>
      <c r="B39" s="14" t="s">
        <v>513</v>
      </c>
      <c r="C39" s="13" t="s">
        <v>74</v>
      </c>
      <c r="D39" s="13" t="s">
        <v>56</v>
      </c>
      <c r="E39" s="15" t="s">
        <v>514</v>
      </c>
      <c r="F39" s="13" t="s">
        <v>212</v>
      </c>
      <c r="G39" s="13" t="s">
        <v>90</v>
      </c>
      <c r="H39" s="14" t="s">
        <v>932</v>
      </c>
    </row>
    <row r="40" customFormat="false" ht="15" hidden="false" customHeight="false" outlineLevel="0" collapsed="false">
      <c r="A40" s="13" t="s">
        <v>816</v>
      </c>
      <c r="B40" s="14" t="s">
        <v>817</v>
      </c>
      <c r="C40" s="13" t="s">
        <v>74</v>
      </c>
      <c r="D40" s="13" t="s">
        <v>56</v>
      </c>
      <c r="E40" s="15" t="s">
        <v>818</v>
      </c>
      <c r="F40" s="13" t="s">
        <v>212</v>
      </c>
      <c r="G40" s="13" t="s">
        <v>90</v>
      </c>
      <c r="H40" s="14" t="s">
        <v>933</v>
      </c>
    </row>
    <row r="41" customFormat="false" ht="15" hidden="false" customHeight="false" outlineLevel="0" collapsed="false">
      <c r="A41" s="13" t="s">
        <v>934</v>
      </c>
      <c r="B41" s="14" t="s">
        <v>935</v>
      </c>
      <c r="C41" s="13" t="s">
        <v>74</v>
      </c>
      <c r="D41" s="13" t="s">
        <v>56</v>
      </c>
      <c r="E41" s="15" t="s">
        <v>936</v>
      </c>
      <c r="F41" s="13" t="s">
        <v>212</v>
      </c>
      <c r="G41" s="13" t="s">
        <v>90</v>
      </c>
      <c r="H41" s="14" t="s">
        <v>937</v>
      </c>
    </row>
    <row r="42" customFormat="false" ht="15" hidden="false" customHeight="false" outlineLevel="0" collapsed="false">
      <c r="A42" s="13" t="s">
        <v>938</v>
      </c>
      <c r="B42" s="14" t="s">
        <v>939</v>
      </c>
      <c r="C42" s="13" t="s">
        <v>74</v>
      </c>
      <c r="D42" s="13" t="s">
        <v>56</v>
      </c>
      <c r="E42" s="15" t="s">
        <v>940</v>
      </c>
      <c r="F42" s="13" t="s">
        <v>212</v>
      </c>
      <c r="G42" s="13" t="s">
        <v>90</v>
      </c>
      <c r="H42" s="14" t="s">
        <v>941</v>
      </c>
    </row>
    <row r="43" customFormat="false" ht="23.85" hidden="false" customHeight="false" outlineLevel="0" collapsed="false">
      <c r="A43" s="13" t="s">
        <v>942</v>
      </c>
      <c r="B43" s="14" t="s">
        <v>943</v>
      </c>
      <c r="C43" s="13" t="s">
        <v>74</v>
      </c>
      <c r="D43" s="13" t="s">
        <v>56</v>
      </c>
      <c r="E43" s="15" t="s">
        <v>944</v>
      </c>
      <c r="F43" s="13" t="s">
        <v>212</v>
      </c>
      <c r="G43" s="13" t="s">
        <v>140</v>
      </c>
      <c r="H43" s="14" t="s">
        <v>945</v>
      </c>
    </row>
    <row r="44" customFormat="false" ht="23.85" hidden="false" customHeight="false" outlineLevel="0" collapsed="false">
      <c r="A44" s="13" t="s">
        <v>946</v>
      </c>
      <c r="B44" s="14" t="s">
        <v>947</v>
      </c>
      <c r="C44" s="13" t="s">
        <v>74</v>
      </c>
      <c r="D44" s="13" t="s">
        <v>56</v>
      </c>
      <c r="E44" s="15" t="s">
        <v>948</v>
      </c>
      <c r="F44" s="13" t="s">
        <v>212</v>
      </c>
      <c r="G44" s="13" t="s">
        <v>140</v>
      </c>
      <c r="H44" s="14" t="s">
        <v>949</v>
      </c>
    </row>
    <row r="45" customFormat="false" ht="15" hidden="false" customHeight="false" outlineLevel="0" collapsed="false">
      <c r="A45" s="13" t="s">
        <v>950</v>
      </c>
      <c r="B45" s="14" t="s">
        <v>951</v>
      </c>
      <c r="C45" s="13" t="s">
        <v>74</v>
      </c>
      <c r="D45" s="13" t="s">
        <v>56</v>
      </c>
      <c r="E45" s="15" t="s">
        <v>952</v>
      </c>
      <c r="F45" s="13" t="s">
        <v>212</v>
      </c>
      <c r="G45" s="13" t="s">
        <v>140</v>
      </c>
      <c r="H45" s="14" t="s">
        <v>953</v>
      </c>
    </row>
    <row r="46" customFormat="false" ht="15" hidden="false" customHeight="false" outlineLevel="0" collapsed="false">
      <c r="A46" s="13" t="s">
        <v>836</v>
      </c>
      <c r="B46" s="14" t="s">
        <v>837</v>
      </c>
      <c r="C46" s="13" t="s">
        <v>74</v>
      </c>
      <c r="D46" s="13" t="s">
        <v>56</v>
      </c>
      <c r="E46" s="15" t="s">
        <v>838</v>
      </c>
      <c r="F46" s="13" t="s">
        <v>212</v>
      </c>
      <c r="G46" s="13" t="s">
        <v>140</v>
      </c>
      <c r="H46" s="14" t="s">
        <v>954</v>
      </c>
    </row>
    <row r="47" customFormat="false" ht="15" hidden="false" customHeight="false" outlineLevel="0" collapsed="false">
      <c r="A47" s="11" t="s">
        <v>552</v>
      </c>
      <c r="B47" s="12"/>
      <c r="C47" s="12"/>
      <c r="D47" s="12"/>
      <c r="E47" s="12"/>
      <c r="F47" s="12"/>
      <c r="G47" s="12"/>
      <c r="H47" s="12"/>
    </row>
    <row r="48" customFormat="false" ht="23.85" hidden="false" customHeight="false" outlineLevel="0" collapsed="false">
      <c r="A48" s="13" t="s">
        <v>955</v>
      </c>
      <c r="B48" s="14" t="s">
        <v>956</v>
      </c>
      <c r="C48" s="13" t="s">
        <v>68</v>
      </c>
      <c r="D48" s="13" t="s">
        <v>69</v>
      </c>
      <c r="E48" s="15" t="s">
        <v>957</v>
      </c>
      <c r="F48" s="13" t="s">
        <v>212</v>
      </c>
      <c r="G48" s="13" t="s">
        <v>90</v>
      </c>
      <c r="H48" s="14" t="s">
        <v>958</v>
      </c>
    </row>
    <row r="49" customFormat="false" ht="23.85" hidden="false" customHeight="false" outlineLevel="0" collapsed="false">
      <c r="A49" s="13" t="s">
        <v>959</v>
      </c>
      <c r="B49" s="14" t="s">
        <v>960</v>
      </c>
      <c r="C49" s="13" t="s">
        <v>68</v>
      </c>
      <c r="D49" s="13" t="s">
        <v>69</v>
      </c>
      <c r="E49" s="15" t="s">
        <v>961</v>
      </c>
      <c r="F49" s="13" t="s">
        <v>271</v>
      </c>
      <c r="G49" s="13" t="s">
        <v>90</v>
      </c>
      <c r="H49" s="14" t="s">
        <v>962</v>
      </c>
    </row>
    <row r="50" customFormat="false" ht="23.85" hidden="false" customHeight="false" outlineLevel="0" collapsed="false">
      <c r="A50" s="13" t="s">
        <v>963</v>
      </c>
      <c r="B50" s="14" t="s">
        <v>964</v>
      </c>
      <c r="C50" s="13" t="s">
        <v>68</v>
      </c>
      <c r="D50" s="13" t="s">
        <v>69</v>
      </c>
      <c r="E50" s="15" t="s">
        <v>965</v>
      </c>
      <c r="F50" s="13" t="s">
        <v>212</v>
      </c>
      <c r="G50" s="13" t="s">
        <v>90</v>
      </c>
      <c r="H50" s="14" t="s">
        <v>966</v>
      </c>
    </row>
    <row r="51" customFormat="false" ht="15" hidden="false" customHeight="false" outlineLevel="0" collapsed="false">
      <c r="A51" s="13" t="s">
        <v>967</v>
      </c>
      <c r="B51" s="14" t="s">
        <v>968</v>
      </c>
      <c r="C51" s="13" t="s">
        <v>68</v>
      </c>
      <c r="D51" s="13" t="s">
        <v>69</v>
      </c>
      <c r="E51" s="15" t="s">
        <v>969</v>
      </c>
      <c r="F51" s="13" t="s">
        <v>212</v>
      </c>
      <c r="G51" s="13" t="s">
        <v>90</v>
      </c>
      <c r="H51" s="14" t="s">
        <v>970</v>
      </c>
    </row>
    <row r="53" customFormat="false" ht="15" hidden="false" customHeight="false" outlineLevel="0" collapsed="false">
      <c r="A53" s="7" t="s">
        <v>304</v>
      </c>
    </row>
    <row r="54" customFormat="false" ht="26.85" hidden="false" customHeight="false" outlineLevel="0" collapsed="false">
      <c r="A54" s="3" t="s">
        <v>305</v>
      </c>
      <c r="B54" s="3" t="s">
        <v>306</v>
      </c>
      <c r="C54" s="3" t="s">
        <v>307</v>
      </c>
      <c r="D54" s="3" t="s">
        <v>308</v>
      </c>
    </row>
    <row r="55" customFormat="false" ht="15" hidden="false" customHeight="false" outlineLevel="0" collapsed="false">
      <c r="A55" s="14" t="n">
        <v>487</v>
      </c>
      <c r="B55" s="14" t="s">
        <v>971</v>
      </c>
      <c r="C55" s="14" t="s">
        <v>845</v>
      </c>
      <c r="D55" s="14" t="s">
        <v>811</v>
      </c>
    </row>
    <row r="56" customFormat="false" ht="15" hidden="false" customHeight="false" outlineLevel="0" collapsed="false">
      <c r="A56" s="14" t="n">
        <v>647</v>
      </c>
      <c r="B56" s="14" t="s">
        <v>972</v>
      </c>
      <c r="C56" s="14" t="s">
        <v>845</v>
      </c>
      <c r="D56" s="14" t="s">
        <v>811</v>
      </c>
    </row>
    <row r="57" customFormat="false" ht="15" hidden="false" customHeight="false" outlineLevel="0" collapsed="false">
      <c r="A57" s="14" t="n">
        <v>490</v>
      </c>
      <c r="B57" s="14" t="s">
        <v>973</v>
      </c>
      <c r="C57" s="14" t="s">
        <v>845</v>
      </c>
      <c r="D57" s="14" t="s">
        <v>811</v>
      </c>
    </row>
    <row r="58" customFormat="false" ht="15" hidden="false" customHeight="false" outlineLevel="0" collapsed="false">
      <c r="A58" s="14" t="n">
        <v>865</v>
      </c>
      <c r="B58" s="14" t="s">
        <v>974</v>
      </c>
      <c r="C58" s="14" t="s">
        <v>845</v>
      </c>
      <c r="D58" s="14" t="s">
        <v>811</v>
      </c>
    </row>
  </sheetData>
  <hyperlinks>
    <hyperlink ref="E6" r:id="rId1" display="http://www.secretariasenado.gov.co/senado/basedoc/constitucion_politica_1991.html?q=Constitucion"/>
    <hyperlink ref="E7" r:id="rId2" display="http://www.secretariasenado.gov.co/senado/basedoc/?q=Codigo%20general%20proceso"/>
    <hyperlink ref="E8" r:id="rId3" display="http://www.secretariasenado.gov.co/senado/basedoc/?q=Codigo%20infancia"/>
    <hyperlink ref="E9" r:id="rId4" display="https://www.suin-juriscol.gov.co/legislacion/?q=Ley%2054%20de%201990"/>
    <hyperlink ref="E10" r:id="rId5" display="https://www.suin-juriscol.gov.co/legislacion/?q=Ley%20979%20de%202005"/>
    <hyperlink ref="E11" r:id="rId6" display="https://www.corteconstitucional.gov.co/relatoria/?q=Sentencia%20C-39%20de%202025"/>
    <hyperlink ref="E12" r:id="rId7" display="https://www.corteconstitucional.gov.co/relatoria/?q=Sentencia%20C-394%20de%202017"/>
    <hyperlink ref="E13" r:id="rId8" display="https://www.corteconstitucional.gov.co/relatoria/?q=Sentencia%20C-96%20de%202024"/>
    <hyperlink ref="E14" r:id="rId9" display="https://www.corteconstitucional.gov.co/relatoria/?q=Sentencia%20C-134%20de%202019"/>
    <hyperlink ref="E15" r:id="rId10" display="https://www.corteconstitucional.gov.co/relatoria/?q=Sentencia%20C-507%20de%202004"/>
    <hyperlink ref="E16" r:id="rId11" display="https://www.corteconstitucional.gov.co/relatoria/?q=Sentencia%20C-746%20de%202011"/>
    <hyperlink ref="E17" r:id="rId12" display="https://www.corteconstitucional.gov.co/relatoria/?q=Sentencia%20SU-214%20de%202016"/>
    <hyperlink ref="E18" r:id="rId13" display="https://www.suin-juriscol.gov.co/legislacion/?q=Decreto%204436%20de%202005"/>
    <hyperlink ref="E19" r:id="rId14" display="https://www.suin-juriscol.gov.co/legislacion/?q=Ley%2029%20de%201982"/>
    <hyperlink ref="E20" r:id="rId15" display="https://www.suin-juriscol.gov.co/legislacion/?q=Ley%20721%20de%202001"/>
    <hyperlink ref="E21" r:id="rId16" display="https://www.suin-juriscol.gov.co/legislacion/?q=Ley%2075%20de%201968"/>
    <hyperlink ref="E22" r:id="rId17" display="https://www.corteconstitucional.gov.co/relatoria/?q=Sentencia%20C-4%20de%201998"/>
    <hyperlink ref="E23" r:id="rId18" display="https://www.corteconstitucional.gov.co/relatoria/?q=Sentencia%20C-1033%20de%202002"/>
    <hyperlink ref="E24" r:id="rId19" display="https://www.corteconstitucional.gov.co/relatoria/?q=Sentencia%20C-131%20de%202018"/>
    <hyperlink ref="E25" r:id="rId20" display="https://www.corteconstitucional.gov.co/relatoria/?q=Sentencia%20C-533%20de%202000"/>
    <hyperlink ref="E26" r:id="rId21" display="https://www.corteconstitucional.gov.co/relatoria/?q=Sentencia%20C-683%20de%202015"/>
    <hyperlink ref="E27" r:id="rId22" display="https://www.corteconstitucional.gov.co/relatoria/?q=Sentencia%20C-964%20de%202003"/>
    <hyperlink ref="E28" r:id="rId23" display="https://www.corteconstitucional.gov.co/relatoria/?q=Sentencia%20C-985%20de%202010"/>
    <hyperlink ref="E29" r:id="rId24" display="https://www.corteconstitucional.gov.co/relatoria/?q=Sentencia%20SC-3085%20de%202024"/>
    <hyperlink ref="E30" r:id="rId25" display="https://www.corteconstitucional.gov.co/relatoria/?q=Sentencia%20T-71%20de%202016"/>
    <hyperlink ref="E31" r:id="rId26" display="https://www.corteconstitucional.gov.co/relatoria/?q=Sentencia%20T-77%20de%202025"/>
    <hyperlink ref="E32" r:id="rId27" display="https://www.corteconstitucional.gov.co/relatoria/?q=Sentencia%20T-1096%20de%202008"/>
    <hyperlink ref="E33" r:id="rId28" display="https://www.corteconstitucional.gov.co/relatoria/?q=Sentencia%20T-232%20de%202025"/>
    <hyperlink ref="E34" r:id="rId29" display="https://www.corteconstitucional.gov.co/relatoria/?q=Sentencia%20T-350%20de%202025"/>
    <hyperlink ref="E36" r:id="rId30" display="http://www.secretariasenado.gov.co/senado/basedoc/codigo_civil.html"/>
    <hyperlink ref="E38" r:id="rId31" display="http://www.secretariasenado.gov.co/senado/basedoc/ley_1060_2006.html"/>
    <hyperlink ref="E39" r:id="rId32" display="http://www.secretariasenado.gov.co/senado/basedoc/ley_1257_2008.html"/>
    <hyperlink ref="E40" r:id="rId33" display="http://www.secretariasenado.gov.co/senado/basedoc/ley_1996_2019.html"/>
    <hyperlink ref="E41" r:id="rId34" display="http://www.secretariasenado.gov.co/senado/basedoc/ley_0025_1992.html"/>
    <hyperlink ref="E42" r:id="rId35" display="http://www.secretariasenado.gov.co/senado/basedoc/ley_0294_1996.html"/>
    <hyperlink ref="E43" r:id="rId36" display="http://www.secretariasenado.gov.co/senado/basedoc/ley_1878_2018.html"/>
    <hyperlink ref="E44" r:id="rId37" display="http://www.secretariasenado.gov.co/senado/basedoc/ley_2097_2021.html"/>
    <hyperlink ref="E45" r:id="rId38" display="http://www.secretariasenado.gov.co/senado/basedoc/ley_2126_2021.html"/>
    <hyperlink ref="E46" r:id="rId39" display="http://www.secretariasenado.gov.co/senado/basedoc/ley_0258_1996.html"/>
    <hyperlink ref="E48" r:id="rId40" display="https://www.corteconstitucional.gov.co/relatoria/?q=Sentencia%20C-029%20de%202009"/>
    <hyperlink ref="E49" r:id="rId41" display="https://www.corteconstitucional.gov.co/relatoria/?q=Sentencia%20C-071%20de%202015"/>
    <hyperlink ref="E50" r:id="rId42" display="https://www.corteconstitucional.gov.co/relatoria/?q=Sentencia%20C-075%20de%202007"/>
    <hyperlink ref="E51" r:id="rId43" display="https://www.corteconstitucional.gov.co/relatoria/?q=Sentencia%20C-577%20de%20201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975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976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23.85" hidden="false" customHeight="false" outlineLevel="0" collapsed="false">
      <c r="A7" s="13" t="s">
        <v>465</v>
      </c>
      <c r="B7" s="14" t="s">
        <v>466</v>
      </c>
      <c r="C7" s="13" t="s">
        <v>63</v>
      </c>
      <c r="D7" s="13" t="s">
        <v>56</v>
      </c>
      <c r="E7" s="15" t="s">
        <v>467</v>
      </c>
      <c r="F7" s="13" t="s">
        <v>58</v>
      </c>
      <c r="G7" s="13" t="s">
        <v>59</v>
      </c>
      <c r="H7" s="14" t="s">
        <v>468</v>
      </c>
    </row>
    <row r="8" customFormat="false" ht="15" hidden="false" customHeight="false" outlineLevel="0" collapsed="false">
      <c r="A8" s="13" t="s">
        <v>61</v>
      </c>
      <c r="B8" s="14" t="s">
        <v>62</v>
      </c>
      <c r="C8" s="13" t="s">
        <v>63</v>
      </c>
      <c r="D8" s="13" t="s">
        <v>56</v>
      </c>
      <c r="E8" s="15" t="s">
        <v>64</v>
      </c>
      <c r="F8" s="13" t="s">
        <v>58</v>
      </c>
      <c r="G8" s="13" t="s">
        <v>59</v>
      </c>
      <c r="H8" s="14" t="s">
        <v>65</v>
      </c>
    </row>
    <row r="9" customFormat="false" ht="15" hidden="false" customHeight="false" outlineLevel="0" collapsed="false">
      <c r="A9" s="13" t="s">
        <v>977</v>
      </c>
      <c r="B9" s="14" t="s">
        <v>978</v>
      </c>
      <c r="C9" s="13" t="s">
        <v>68</v>
      </c>
      <c r="D9" s="13" t="s">
        <v>69</v>
      </c>
      <c r="E9" s="15" t="s">
        <v>979</v>
      </c>
      <c r="F9" s="13" t="s">
        <v>58</v>
      </c>
      <c r="G9" s="13" t="s">
        <v>59</v>
      </c>
      <c r="H9" s="14" t="s">
        <v>980</v>
      </c>
    </row>
    <row r="10" customFormat="false" ht="15" hidden="false" customHeight="false" outlineLevel="0" collapsed="false">
      <c r="A10" s="13" t="s">
        <v>752</v>
      </c>
      <c r="B10" s="14" t="s">
        <v>753</v>
      </c>
      <c r="C10" s="13" t="s">
        <v>74</v>
      </c>
      <c r="D10" s="13" t="s">
        <v>75</v>
      </c>
      <c r="E10" s="15" t="s">
        <v>754</v>
      </c>
      <c r="F10" s="13" t="s">
        <v>58</v>
      </c>
      <c r="G10" s="13" t="s">
        <v>90</v>
      </c>
      <c r="H10" s="14" t="s">
        <v>95</v>
      </c>
    </row>
    <row r="11" customFormat="false" ht="15" hidden="false" customHeight="false" outlineLevel="0" collapsed="false">
      <c r="A11" s="13" t="s">
        <v>981</v>
      </c>
      <c r="B11" s="14" t="s">
        <v>982</v>
      </c>
      <c r="C11" s="13" t="s">
        <v>68</v>
      </c>
      <c r="D11" s="13" t="s">
        <v>69</v>
      </c>
      <c r="E11" s="15" t="s">
        <v>983</v>
      </c>
      <c r="F11" s="13" t="s">
        <v>58</v>
      </c>
      <c r="G11" s="13" t="s">
        <v>90</v>
      </c>
      <c r="H11" s="14" t="s">
        <v>105</v>
      </c>
    </row>
    <row r="12" customFormat="false" ht="15" hidden="false" customHeight="false" outlineLevel="0" collapsed="false">
      <c r="A12" s="13" t="s">
        <v>984</v>
      </c>
      <c r="B12" s="14" t="s">
        <v>985</v>
      </c>
      <c r="C12" s="13" t="s">
        <v>68</v>
      </c>
      <c r="D12" s="13" t="s">
        <v>69</v>
      </c>
      <c r="E12" s="15" t="s">
        <v>986</v>
      </c>
      <c r="F12" s="13" t="s">
        <v>58</v>
      </c>
      <c r="G12" s="13" t="s">
        <v>90</v>
      </c>
      <c r="H12" s="14" t="s">
        <v>105</v>
      </c>
    </row>
    <row r="13" customFormat="false" ht="15" hidden="false" customHeight="false" outlineLevel="0" collapsed="false">
      <c r="A13" s="13" t="s">
        <v>586</v>
      </c>
      <c r="B13" s="14" t="s">
        <v>587</v>
      </c>
      <c r="C13" s="13" t="s">
        <v>68</v>
      </c>
      <c r="D13" s="13" t="s">
        <v>69</v>
      </c>
      <c r="E13" s="15" t="s">
        <v>588</v>
      </c>
      <c r="F13" s="13" t="s">
        <v>58</v>
      </c>
      <c r="G13" s="13" t="s">
        <v>90</v>
      </c>
      <c r="H13" s="14" t="s">
        <v>105</v>
      </c>
    </row>
    <row r="14" customFormat="false" ht="15" hidden="false" customHeight="false" outlineLevel="0" collapsed="false">
      <c r="A14" s="13" t="s">
        <v>987</v>
      </c>
      <c r="B14" s="14" t="s">
        <v>988</v>
      </c>
      <c r="C14" s="13" t="s">
        <v>68</v>
      </c>
      <c r="D14" s="13" t="s">
        <v>69</v>
      </c>
      <c r="E14" s="15" t="s">
        <v>989</v>
      </c>
      <c r="F14" s="13" t="s">
        <v>58</v>
      </c>
      <c r="G14" s="13" t="s">
        <v>90</v>
      </c>
      <c r="H14" s="14" t="s">
        <v>105</v>
      </c>
    </row>
    <row r="15" customFormat="false" ht="15" hidden="false" customHeight="false" outlineLevel="0" collapsed="false">
      <c r="A15" s="13" t="s">
        <v>990</v>
      </c>
      <c r="B15" s="14" t="s">
        <v>991</v>
      </c>
      <c r="C15" s="13" t="s">
        <v>80</v>
      </c>
      <c r="D15" s="13" t="s">
        <v>75</v>
      </c>
      <c r="E15" s="15" t="s">
        <v>992</v>
      </c>
      <c r="F15" s="13" t="s">
        <v>58</v>
      </c>
      <c r="G15" s="13" t="s">
        <v>140</v>
      </c>
      <c r="H15" s="14" t="s">
        <v>141</v>
      </c>
    </row>
    <row r="16" customFormat="false" ht="15" hidden="false" customHeight="false" outlineLevel="0" collapsed="false">
      <c r="A16" s="13" t="s">
        <v>993</v>
      </c>
      <c r="B16" s="14" t="s">
        <v>994</v>
      </c>
      <c r="C16" s="13" t="s">
        <v>80</v>
      </c>
      <c r="D16" s="13" t="s">
        <v>75</v>
      </c>
      <c r="E16" s="15" t="s">
        <v>995</v>
      </c>
      <c r="F16" s="13" t="s">
        <v>58</v>
      </c>
      <c r="G16" s="13" t="s">
        <v>140</v>
      </c>
      <c r="H16" s="14" t="s">
        <v>141</v>
      </c>
    </row>
    <row r="17" customFormat="false" ht="15" hidden="false" customHeight="false" outlineLevel="0" collapsed="false">
      <c r="A17" s="13" t="s">
        <v>996</v>
      </c>
      <c r="B17" s="14" t="s">
        <v>997</v>
      </c>
      <c r="C17" s="13" t="s">
        <v>74</v>
      </c>
      <c r="D17" s="13" t="s">
        <v>75</v>
      </c>
      <c r="E17" s="15" t="s">
        <v>998</v>
      </c>
      <c r="F17" s="13" t="s">
        <v>58</v>
      </c>
      <c r="G17" s="13" t="s">
        <v>140</v>
      </c>
      <c r="H17" s="14" t="s">
        <v>141</v>
      </c>
    </row>
    <row r="18" customFormat="false" ht="15" hidden="false" customHeight="false" outlineLevel="0" collapsed="false">
      <c r="A18" s="13" t="s">
        <v>999</v>
      </c>
      <c r="B18" s="14" t="s">
        <v>1000</v>
      </c>
      <c r="C18" s="13" t="s">
        <v>74</v>
      </c>
      <c r="D18" s="13" t="s">
        <v>75</v>
      </c>
      <c r="E18" s="15" t="s">
        <v>1001</v>
      </c>
      <c r="F18" s="13" t="s">
        <v>58</v>
      </c>
      <c r="G18" s="13" t="s">
        <v>140</v>
      </c>
      <c r="H18" s="14" t="s">
        <v>141</v>
      </c>
    </row>
    <row r="19" customFormat="false" ht="15" hidden="false" customHeight="false" outlineLevel="0" collapsed="false">
      <c r="A19" s="13" t="s">
        <v>1002</v>
      </c>
      <c r="B19" s="14" t="s">
        <v>1003</v>
      </c>
      <c r="C19" s="13" t="s">
        <v>74</v>
      </c>
      <c r="D19" s="13" t="s">
        <v>75</v>
      </c>
      <c r="E19" s="15" t="s">
        <v>1004</v>
      </c>
      <c r="F19" s="13" t="s">
        <v>58</v>
      </c>
      <c r="G19" s="13" t="s">
        <v>140</v>
      </c>
      <c r="H19" s="14" t="s">
        <v>141</v>
      </c>
    </row>
    <row r="20" customFormat="false" ht="15" hidden="false" customHeight="false" outlineLevel="0" collapsed="false">
      <c r="A20" s="13" t="s">
        <v>1005</v>
      </c>
      <c r="B20" s="14" t="s">
        <v>1006</v>
      </c>
      <c r="C20" s="13" t="s">
        <v>74</v>
      </c>
      <c r="D20" s="13" t="s">
        <v>75</v>
      </c>
      <c r="E20" s="15" t="s">
        <v>1007</v>
      </c>
      <c r="F20" s="13" t="s">
        <v>58</v>
      </c>
      <c r="G20" s="13" t="s">
        <v>140</v>
      </c>
      <c r="H20" s="14" t="s">
        <v>141</v>
      </c>
    </row>
    <row r="21" customFormat="false" ht="15" hidden="false" customHeight="false" outlineLevel="0" collapsed="false">
      <c r="A21" s="13" t="s">
        <v>1008</v>
      </c>
      <c r="B21" s="14" t="s">
        <v>1009</v>
      </c>
      <c r="C21" s="13" t="s">
        <v>74</v>
      </c>
      <c r="D21" s="13" t="s">
        <v>75</v>
      </c>
      <c r="E21" s="15" t="s">
        <v>1010</v>
      </c>
      <c r="F21" s="13" t="s">
        <v>58</v>
      </c>
      <c r="G21" s="13" t="s">
        <v>140</v>
      </c>
      <c r="H21" s="14" t="s">
        <v>141</v>
      </c>
    </row>
    <row r="22" customFormat="false" ht="15" hidden="false" customHeight="false" outlineLevel="0" collapsed="false">
      <c r="A22" s="13" t="s">
        <v>1011</v>
      </c>
      <c r="B22" s="14" t="s">
        <v>1012</v>
      </c>
      <c r="C22" s="13" t="s">
        <v>68</v>
      </c>
      <c r="D22" s="13" t="s">
        <v>69</v>
      </c>
      <c r="E22" s="15" t="s">
        <v>1013</v>
      </c>
      <c r="F22" s="13" t="s">
        <v>58</v>
      </c>
      <c r="G22" s="13" t="s">
        <v>140</v>
      </c>
      <c r="H22" s="14" t="s">
        <v>141</v>
      </c>
    </row>
    <row r="23" customFormat="false" ht="15" hidden="false" customHeight="false" outlineLevel="0" collapsed="false">
      <c r="A23" s="13" t="s">
        <v>1014</v>
      </c>
      <c r="B23" s="14" t="s">
        <v>1015</v>
      </c>
      <c r="C23" s="13" t="s">
        <v>68</v>
      </c>
      <c r="D23" s="13" t="s">
        <v>69</v>
      </c>
      <c r="E23" s="15" t="s">
        <v>1016</v>
      </c>
      <c r="F23" s="13" t="s">
        <v>58</v>
      </c>
      <c r="G23" s="13" t="s">
        <v>140</v>
      </c>
      <c r="H23" s="14" t="s">
        <v>141</v>
      </c>
    </row>
    <row r="24" customFormat="false" ht="15" hidden="false" customHeight="false" outlineLevel="0" collapsed="false">
      <c r="A24" s="13" t="s">
        <v>1017</v>
      </c>
      <c r="B24" s="14" t="s">
        <v>1018</v>
      </c>
      <c r="C24" s="13" t="s">
        <v>68</v>
      </c>
      <c r="D24" s="13" t="s">
        <v>69</v>
      </c>
      <c r="E24" s="15" t="s">
        <v>1019</v>
      </c>
      <c r="F24" s="13" t="s">
        <v>58</v>
      </c>
      <c r="G24" s="13" t="s">
        <v>140</v>
      </c>
      <c r="H24" s="14" t="s">
        <v>141</v>
      </c>
    </row>
    <row r="25" customFormat="false" ht="15" hidden="false" customHeight="false" outlineLevel="0" collapsed="false">
      <c r="A25" s="11" t="s">
        <v>1020</v>
      </c>
      <c r="B25" s="12"/>
      <c r="C25" s="12"/>
      <c r="D25" s="12"/>
      <c r="E25" s="12"/>
      <c r="F25" s="12"/>
      <c r="G25" s="12"/>
      <c r="H25" s="12"/>
    </row>
    <row r="26" customFormat="false" ht="15" hidden="false" customHeight="false" outlineLevel="0" collapsed="false">
      <c r="A26" s="11" t="s">
        <v>222</v>
      </c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13" t="s">
        <v>1021</v>
      </c>
      <c r="B27" s="14" t="s">
        <v>1022</v>
      </c>
      <c r="C27" s="13" t="s">
        <v>80</v>
      </c>
      <c r="D27" s="13" t="s">
        <v>75</v>
      </c>
      <c r="E27" s="15" t="s">
        <v>1023</v>
      </c>
      <c r="F27" s="13" t="s">
        <v>212</v>
      </c>
      <c r="G27" s="13" t="s">
        <v>90</v>
      </c>
      <c r="H27" s="14" t="s">
        <v>1024</v>
      </c>
    </row>
    <row r="28" customFormat="false" ht="23.85" hidden="false" customHeight="false" outlineLevel="0" collapsed="false">
      <c r="A28" s="13" t="s">
        <v>1025</v>
      </c>
      <c r="B28" s="14" t="s">
        <v>1026</v>
      </c>
      <c r="C28" s="13" t="s">
        <v>80</v>
      </c>
      <c r="D28" s="13" t="s">
        <v>75</v>
      </c>
      <c r="E28" s="15" t="s">
        <v>1027</v>
      </c>
      <c r="F28" s="13" t="s">
        <v>212</v>
      </c>
      <c r="G28" s="13" t="s">
        <v>90</v>
      </c>
      <c r="H28" s="14" t="s">
        <v>1028</v>
      </c>
    </row>
    <row r="29" customFormat="false" ht="15" hidden="false" customHeight="false" outlineLevel="0" collapsed="false">
      <c r="A29" s="13" t="s">
        <v>1029</v>
      </c>
      <c r="B29" s="14" t="s">
        <v>1030</v>
      </c>
      <c r="C29" s="13" t="s">
        <v>74</v>
      </c>
      <c r="D29" s="13" t="s">
        <v>56</v>
      </c>
      <c r="E29" s="15" t="s">
        <v>1031</v>
      </c>
      <c r="F29" s="13" t="s">
        <v>212</v>
      </c>
      <c r="G29" s="13" t="s">
        <v>90</v>
      </c>
      <c r="H29" s="14" t="s">
        <v>1032</v>
      </c>
    </row>
    <row r="30" customFormat="false" ht="15" hidden="false" customHeight="false" outlineLevel="0" collapsed="false">
      <c r="A30" s="13" t="s">
        <v>1033</v>
      </c>
      <c r="B30" s="14" t="s">
        <v>1034</v>
      </c>
      <c r="C30" s="13" t="s">
        <v>74</v>
      </c>
      <c r="D30" s="13" t="s">
        <v>56</v>
      </c>
      <c r="E30" s="15" t="s">
        <v>1035</v>
      </c>
      <c r="F30" s="13" t="s">
        <v>212</v>
      </c>
      <c r="G30" s="13" t="s">
        <v>90</v>
      </c>
      <c r="H30" s="14" t="s">
        <v>1036</v>
      </c>
    </row>
    <row r="31" customFormat="false" ht="23.85" hidden="false" customHeight="false" outlineLevel="0" collapsed="false">
      <c r="A31" s="13" t="s">
        <v>1037</v>
      </c>
      <c r="B31" s="14" t="s">
        <v>1038</v>
      </c>
      <c r="C31" s="13" t="s">
        <v>74</v>
      </c>
      <c r="D31" s="13" t="s">
        <v>56</v>
      </c>
      <c r="E31" s="15" t="s">
        <v>1039</v>
      </c>
      <c r="F31" s="13" t="s">
        <v>212</v>
      </c>
      <c r="G31" s="13" t="s">
        <v>90</v>
      </c>
      <c r="H31" s="14" t="s">
        <v>1040</v>
      </c>
    </row>
    <row r="32" customFormat="false" ht="15" hidden="false" customHeight="false" outlineLevel="0" collapsed="false">
      <c r="A32" s="13" t="s">
        <v>1041</v>
      </c>
      <c r="B32" s="14" t="s">
        <v>1042</v>
      </c>
      <c r="C32" s="13" t="s">
        <v>74</v>
      </c>
      <c r="D32" s="13" t="s">
        <v>56</v>
      </c>
      <c r="E32" s="15" t="s">
        <v>1043</v>
      </c>
      <c r="F32" s="13" t="s">
        <v>212</v>
      </c>
      <c r="G32" s="13" t="s">
        <v>140</v>
      </c>
      <c r="H32" s="14" t="s">
        <v>1044</v>
      </c>
    </row>
    <row r="33" customFormat="false" ht="15" hidden="false" customHeight="false" outlineLevel="0" collapsed="false">
      <c r="A33" s="13" t="s">
        <v>1045</v>
      </c>
      <c r="B33" s="14" t="s">
        <v>1046</v>
      </c>
      <c r="C33" s="13" t="s">
        <v>74</v>
      </c>
      <c r="D33" s="13" t="s">
        <v>56</v>
      </c>
      <c r="E33" s="15" t="s">
        <v>1047</v>
      </c>
      <c r="F33" s="13" t="s">
        <v>212</v>
      </c>
      <c r="G33" s="13" t="s">
        <v>140</v>
      </c>
      <c r="H33" s="14" t="s">
        <v>1048</v>
      </c>
    </row>
    <row r="34" customFormat="false" ht="15" hidden="false" customHeight="false" outlineLevel="0" collapsed="false">
      <c r="A34" s="13" t="s">
        <v>1049</v>
      </c>
      <c r="B34" s="14" t="s">
        <v>1050</v>
      </c>
      <c r="C34" s="13" t="s">
        <v>74</v>
      </c>
      <c r="D34" s="13" t="s">
        <v>56</v>
      </c>
      <c r="E34" s="15" t="s">
        <v>1051</v>
      </c>
      <c r="F34" s="13" t="s">
        <v>212</v>
      </c>
      <c r="G34" s="13" t="s">
        <v>140</v>
      </c>
      <c r="H34" s="14" t="s">
        <v>1044</v>
      </c>
    </row>
    <row r="35" customFormat="false" ht="15" hidden="false" customHeight="false" outlineLevel="0" collapsed="false">
      <c r="A35" s="11" t="s">
        <v>552</v>
      </c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A36" s="13" t="s">
        <v>1052</v>
      </c>
      <c r="B36" s="14" t="s">
        <v>1053</v>
      </c>
      <c r="C36" s="13" t="s">
        <v>1054</v>
      </c>
      <c r="D36" s="13" t="s">
        <v>1055</v>
      </c>
      <c r="E36" s="15" t="s">
        <v>1056</v>
      </c>
      <c r="F36" s="13" t="s">
        <v>271</v>
      </c>
      <c r="G36" s="13" t="s">
        <v>59</v>
      </c>
      <c r="H36" s="14" t="s">
        <v>1057</v>
      </c>
    </row>
    <row r="37" customFormat="false" ht="23.85" hidden="false" customHeight="false" outlineLevel="0" collapsed="false">
      <c r="A37" s="13" t="s">
        <v>1058</v>
      </c>
      <c r="B37" s="14" t="s">
        <v>1059</v>
      </c>
      <c r="C37" s="13" t="s">
        <v>68</v>
      </c>
      <c r="D37" s="13" t="s">
        <v>438</v>
      </c>
      <c r="E37" s="15" t="s">
        <v>439</v>
      </c>
      <c r="F37" s="13" t="s">
        <v>212</v>
      </c>
      <c r="G37" s="13" t="s">
        <v>59</v>
      </c>
      <c r="H37" s="14" t="s">
        <v>1060</v>
      </c>
    </row>
    <row r="38" customFormat="false" ht="15" hidden="false" customHeight="false" outlineLevel="0" collapsed="false">
      <c r="A38" s="13" t="s">
        <v>1061</v>
      </c>
      <c r="B38" s="14" t="s">
        <v>1062</v>
      </c>
      <c r="C38" s="13" t="s">
        <v>68</v>
      </c>
      <c r="D38" s="13" t="s">
        <v>69</v>
      </c>
      <c r="E38" s="15" t="s">
        <v>1063</v>
      </c>
      <c r="F38" s="13" t="s">
        <v>212</v>
      </c>
      <c r="G38" s="13" t="s">
        <v>90</v>
      </c>
      <c r="H38" s="14" t="s">
        <v>1064</v>
      </c>
    </row>
    <row r="39" customFormat="false" ht="23.85" hidden="false" customHeight="false" outlineLevel="0" collapsed="false">
      <c r="A39" s="13" t="s">
        <v>1065</v>
      </c>
      <c r="B39" s="14" t="s">
        <v>1066</v>
      </c>
      <c r="C39" s="13" t="s">
        <v>68</v>
      </c>
      <c r="D39" s="13" t="s">
        <v>69</v>
      </c>
      <c r="E39" s="15" t="s">
        <v>1067</v>
      </c>
      <c r="F39" s="13" t="s">
        <v>212</v>
      </c>
      <c r="G39" s="13" t="s">
        <v>90</v>
      </c>
      <c r="H39" s="14" t="s">
        <v>1068</v>
      </c>
    </row>
    <row r="41" customFormat="false" ht="15" hidden="false" customHeight="false" outlineLevel="0" collapsed="false">
      <c r="A41" s="7" t="s">
        <v>304</v>
      </c>
    </row>
    <row r="42" customFormat="false" ht="26.85" hidden="false" customHeight="false" outlineLevel="0" collapsed="false">
      <c r="A42" s="3" t="s">
        <v>305</v>
      </c>
      <c r="B42" s="3" t="s">
        <v>306</v>
      </c>
      <c r="C42" s="3" t="s">
        <v>307</v>
      </c>
      <c r="D42" s="3" t="s">
        <v>308</v>
      </c>
    </row>
    <row r="43" customFormat="false" ht="57.45" hidden="false" customHeight="false" outlineLevel="0" collapsed="false">
      <c r="A43" s="14" t="n">
        <v>671</v>
      </c>
      <c r="B43" s="14" t="s">
        <v>461</v>
      </c>
      <c r="C43" s="14" t="s">
        <v>1069</v>
      </c>
      <c r="D43" s="14" t="s">
        <v>1052</v>
      </c>
    </row>
    <row r="44" customFormat="false" ht="102.2" hidden="false" customHeight="false" outlineLevel="0" collapsed="false">
      <c r="A44" s="14" t="n">
        <v>142</v>
      </c>
      <c r="B44" s="14" t="s">
        <v>1070</v>
      </c>
      <c r="C44" s="14" t="s">
        <v>1071</v>
      </c>
      <c r="D44" s="14" t="s">
        <v>1058</v>
      </c>
    </row>
  </sheetData>
  <hyperlinks>
    <hyperlink ref="E6" r:id="rId1" display="http://www.secretariasenado.gov.co/senado/basedoc/constitucion_politica_1991.html?q=Constitucion"/>
    <hyperlink ref="E7" r:id="rId2" display="http://www.secretariasenado.gov.co/senado/basedoc/?q=Codigo%20general%20proceso"/>
    <hyperlink ref="E8" r:id="rId3" display="http://www.secretariasenado.gov.co/senado/basedoc/?q=Estatuto%20tributario"/>
    <hyperlink ref="E9" r:id="rId4" display="https://www.corteconstitucional.gov.co/relatoria/?q=Sentencia%20C-891%20de%202012"/>
    <hyperlink ref="E10" r:id="rId5" display="https://www.suin-juriscol.gov.co/legislacion/?q=Ley%20153%20de%201887"/>
    <hyperlink ref="E11" r:id="rId6" display="https://www.corteconstitucional.gov.co/relatoria/?q=Sentencia%20C-35%20de%202009"/>
    <hyperlink ref="E12" r:id="rId7" display="https://www.corteconstitucional.gov.co/relatoria/?q=Sentencia%20C-117%20de%202018"/>
    <hyperlink ref="E13" r:id="rId8" display="https://www.corteconstitucional.gov.co/relatoria/?q=Sentencia%20C-500%20de%202024"/>
    <hyperlink ref="E14" r:id="rId9" display="https://www.corteconstitucional.gov.co/relatoria/?q=Sentencia%20C-540%20de%202023"/>
    <hyperlink ref="E15" r:id="rId10" display="https://www.suin-juriscol.gov.co/legislacion/?q=Decreto%201742%20de%202020"/>
    <hyperlink ref="E16" r:id="rId11" display="https://www.suin-juriscol.gov.co/legislacion/?q=Decreto%20175%20de%202025"/>
    <hyperlink ref="E17" r:id="rId12" display="https://www.suin-juriscol.gov.co/legislacion/?q=Ley%20137%20de%201994"/>
    <hyperlink ref="E18" r:id="rId13" display="https://www.suin-juriscol.gov.co/legislacion/?q=Ley%201473%20de%202011"/>
    <hyperlink ref="E19" r:id="rId14" display="https://www.suin-juriscol.gov.co/legislacion/?q=Ley%201607%20de%202012"/>
    <hyperlink ref="E20" r:id="rId15" display="https://www.suin-juriscol.gov.co/legislacion/?q=Ley%201692%20de%202017"/>
    <hyperlink ref="E21" r:id="rId16" display="https://www.suin-juriscol.gov.co/legislacion/?q=Ley%201819%20de%202016"/>
    <hyperlink ref="E22" r:id="rId17" display="https://www.corteconstitucional.gov.co/relatoria/?q=Sentencia%20C-389%20de%202023"/>
    <hyperlink ref="E23" r:id="rId18" display="https://www.corteconstitucional.gov.co/relatoria/?q=Sentencia%20C-413%20de%201996"/>
    <hyperlink ref="E24" r:id="rId19" display="https://www.corteconstitucional.gov.co/relatoria/?q=Sentencia%20C-537%20de%201995"/>
    <hyperlink ref="E27" r:id="rId20" display="https://www.suin-juriscol.gov.co/legislacion/?q=Decreto%201333%20de%201986"/>
    <hyperlink ref="E28" r:id="rId21" display="https://www.suin-juriscol.gov.co/legislacion/?q=Decreto%201625%20de%202016"/>
    <hyperlink ref="E29" r:id="rId22" display="http://www.secretariasenado.gov.co/senado/basedoc/ley_0014_1983.html"/>
    <hyperlink ref="E30" r:id="rId23" display="http://www.secretariasenado.gov.co/senado/basedoc/ley_2010_2019.html"/>
    <hyperlink ref="E31" r:id="rId24" display="http://www.secretariasenado.gov.co/senado/basedoc/ley_2277_2022.html"/>
    <hyperlink ref="E32" r:id="rId25" display="http://www.secretariasenado.gov.co/senado/basedoc/ley_1739_2014.html"/>
    <hyperlink ref="E33" r:id="rId26" display="http://www.secretariasenado.gov.co/senado/basedoc/ley_1943_2018.html"/>
    <hyperlink ref="E34" r:id="rId27" display="http://www.secretariasenado.gov.co/senado/basedoc/ley_2155_2021.html"/>
    <hyperlink ref="E36" r:id="rId28" display="https://www.dian.gov.co"/>
    <hyperlink ref="E37" r:id="rId29" display="https://www.consejodeestado.gov.co"/>
    <hyperlink ref="E38" r:id="rId30" display="https://www.corteconstitucional.gov.co/relatoria/?q=Sentencia%20C-481%20de%202019"/>
    <hyperlink ref="E39" r:id="rId31" display="https://www.corteconstitucional.gov.co/relatoria/?q=Sentencia%20C-776%20de%20200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1072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1073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23.85" hidden="false" customHeight="false" outlineLevel="0" collapsed="false">
      <c r="A7" s="13" t="s">
        <v>1074</v>
      </c>
      <c r="B7" s="14" t="s">
        <v>1075</v>
      </c>
      <c r="C7" s="13" t="s">
        <v>63</v>
      </c>
      <c r="D7" s="13" t="s">
        <v>56</v>
      </c>
      <c r="E7" s="15" t="s">
        <v>1076</v>
      </c>
      <c r="F7" s="13" t="s">
        <v>58</v>
      </c>
      <c r="G7" s="13" t="s">
        <v>59</v>
      </c>
      <c r="H7" s="14" t="s">
        <v>1077</v>
      </c>
    </row>
    <row r="8" customFormat="false" ht="15" hidden="false" customHeight="false" outlineLevel="0" collapsed="false">
      <c r="A8" s="13" t="s">
        <v>318</v>
      </c>
      <c r="B8" s="14" t="s">
        <v>319</v>
      </c>
      <c r="C8" s="13" t="s">
        <v>74</v>
      </c>
      <c r="D8" s="13" t="s">
        <v>75</v>
      </c>
      <c r="E8" s="15" t="s">
        <v>320</v>
      </c>
      <c r="F8" s="13" t="s">
        <v>58</v>
      </c>
      <c r="G8" s="13" t="s">
        <v>59</v>
      </c>
      <c r="H8" s="14" t="s">
        <v>321</v>
      </c>
    </row>
    <row r="9" customFormat="false" ht="23.85" hidden="false" customHeight="false" outlineLevel="0" collapsed="false">
      <c r="A9" s="13" t="s">
        <v>1078</v>
      </c>
      <c r="B9" s="14" t="s">
        <v>1079</v>
      </c>
      <c r="C9" s="13" t="s">
        <v>68</v>
      </c>
      <c r="D9" s="13" t="s">
        <v>471</v>
      </c>
      <c r="E9" s="15" t="s">
        <v>1080</v>
      </c>
      <c r="F9" s="13" t="s">
        <v>58</v>
      </c>
      <c r="G9" s="13" t="s">
        <v>59</v>
      </c>
      <c r="H9" s="14" t="s">
        <v>1081</v>
      </c>
    </row>
    <row r="10" customFormat="false" ht="15" hidden="false" customHeight="false" outlineLevel="0" collapsed="false">
      <c r="A10" s="13" t="s">
        <v>1082</v>
      </c>
      <c r="B10" s="14" t="s">
        <v>1083</v>
      </c>
      <c r="C10" s="13" t="s">
        <v>74</v>
      </c>
      <c r="D10" s="13" t="s">
        <v>75</v>
      </c>
      <c r="E10" s="15" t="s">
        <v>1084</v>
      </c>
      <c r="F10" s="13" t="s">
        <v>58</v>
      </c>
      <c r="G10" s="13" t="s">
        <v>59</v>
      </c>
      <c r="H10" s="14" t="s">
        <v>1085</v>
      </c>
    </row>
    <row r="11" customFormat="false" ht="23.85" hidden="false" customHeight="false" outlineLevel="0" collapsed="false">
      <c r="A11" s="13" t="s">
        <v>1086</v>
      </c>
      <c r="B11" s="14" t="s">
        <v>1087</v>
      </c>
      <c r="C11" s="13" t="s">
        <v>74</v>
      </c>
      <c r="D11" s="13" t="s">
        <v>75</v>
      </c>
      <c r="E11" s="15" t="s">
        <v>1088</v>
      </c>
      <c r="F11" s="13" t="s">
        <v>58</v>
      </c>
      <c r="G11" s="13" t="s">
        <v>59</v>
      </c>
      <c r="H11" s="14" t="s">
        <v>105</v>
      </c>
    </row>
    <row r="12" customFormat="false" ht="15" hidden="false" customHeight="false" outlineLevel="0" collapsed="false">
      <c r="A12" s="13" t="s">
        <v>1089</v>
      </c>
      <c r="B12" s="14" t="s">
        <v>1090</v>
      </c>
      <c r="C12" s="13" t="s">
        <v>74</v>
      </c>
      <c r="D12" s="13" t="s">
        <v>75</v>
      </c>
      <c r="E12" s="15" t="s">
        <v>1091</v>
      </c>
      <c r="F12" s="13" t="s">
        <v>58</v>
      </c>
      <c r="G12" s="13" t="s">
        <v>59</v>
      </c>
      <c r="H12" s="14" t="s">
        <v>105</v>
      </c>
    </row>
    <row r="13" customFormat="false" ht="15" hidden="false" customHeight="false" outlineLevel="0" collapsed="false">
      <c r="A13" s="13" t="s">
        <v>1092</v>
      </c>
      <c r="B13" s="14" t="s">
        <v>1093</v>
      </c>
      <c r="C13" s="13" t="s">
        <v>74</v>
      </c>
      <c r="D13" s="13" t="s">
        <v>75</v>
      </c>
      <c r="E13" s="15" t="s">
        <v>1094</v>
      </c>
      <c r="F13" s="13" t="s">
        <v>58</v>
      </c>
      <c r="G13" s="13" t="s">
        <v>59</v>
      </c>
      <c r="H13" s="14" t="s">
        <v>1095</v>
      </c>
    </row>
    <row r="14" customFormat="false" ht="15" hidden="false" customHeight="false" outlineLevel="0" collapsed="false">
      <c r="A14" s="13" t="s">
        <v>1096</v>
      </c>
      <c r="B14" s="14" t="s">
        <v>1097</v>
      </c>
      <c r="C14" s="13" t="s">
        <v>68</v>
      </c>
      <c r="D14" s="13" t="s">
        <v>69</v>
      </c>
      <c r="E14" s="15" t="s">
        <v>1098</v>
      </c>
      <c r="F14" s="13" t="s">
        <v>58</v>
      </c>
      <c r="G14" s="13" t="s">
        <v>90</v>
      </c>
      <c r="H14" s="14" t="s">
        <v>95</v>
      </c>
    </row>
    <row r="15" customFormat="false" ht="15" hidden="false" customHeight="false" outlineLevel="0" collapsed="false">
      <c r="A15" s="13" t="s">
        <v>106</v>
      </c>
      <c r="B15" s="14" t="s">
        <v>107</v>
      </c>
      <c r="C15" s="13" t="s">
        <v>74</v>
      </c>
      <c r="D15" s="13" t="s">
        <v>75</v>
      </c>
      <c r="E15" s="15" t="s">
        <v>108</v>
      </c>
      <c r="F15" s="13" t="s">
        <v>58</v>
      </c>
      <c r="G15" s="13" t="s">
        <v>90</v>
      </c>
      <c r="H15" s="14" t="s">
        <v>105</v>
      </c>
    </row>
    <row r="16" customFormat="false" ht="15" hidden="false" customHeight="false" outlineLevel="0" collapsed="false">
      <c r="A16" s="13" t="s">
        <v>1099</v>
      </c>
      <c r="B16" s="14" t="s">
        <v>1100</v>
      </c>
      <c r="C16" s="13" t="s">
        <v>74</v>
      </c>
      <c r="D16" s="13" t="s">
        <v>75</v>
      </c>
      <c r="E16" s="15" t="s">
        <v>1101</v>
      </c>
      <c r="F16" s="13" t="s">
        <v>58</v>
      </c>
      <c r="G16" s="13" t="s">
        <v>90</v>
      </c>
      <c r="H16" s="14" t="s">
        <v>105</v>
      </c>
    </row>
    <row r="17" customFormat="false" ht="23.85" hidden="false" customHeight="false" outlineLevel="0" collapsed="false">
      <c r="A17" s="13" t="s">
        <v>1102</v>
      </c>
      <c r="B17" s="14" t="s">
        <v>1103</v>
      </c>
      <c r="C17" s="13" t="s">
        <v>68</v>
      </c>
      <c r="D17" s="13" t="s">
        <v>471</v>
      </c>
      <c r="E17" s="15" t="s">
        <v>1104</v>
      </c>
      <c r="F17" s="13" t="s">
        <v>58</v>
      </c>
      <c r="G17" s="13" t="s">
        <v>90</v>
      </c>
      <c r="H17" s="14" t="s">
        <v>473</v>
      </c>
    </row>
    <row r="18" customFormat="false" ht="15" hidden="false" customHeight="false" outlineLevel="0" collapsed="false">
      <c r="A18" s="13" t="s">
        <v>1105</v>
      </c>
      <c r="B18" s="14" t="s">
        <v>1106</v>
      </c>
      <c r="C18" s="13" t="s">
        <v>68</v>
      </c>
      <c r="D18" s="13" t="s">
        <v>69</v>
      </c>
      <c r="E18" s="15" t="s">
        <v>1107</v>
      </c>
      <c r="F18" s="13" t="s">
        <v>58</v>
      </c>
      <c r="G18" s="13" t="s">
        <v>90</v>
      </c>
      <c r="H18" s="14" t="s">
        <v>105</v>
      </c>
    </row>
    <row r="19" customFormat="false" ht="15" hidden="false" customHeight="false" outlineLevel="0" collapsed="false">
      <c r="A19" s="13" t="s">
        <v>133</v>
      </c>
      <c r="B19" s="14" t="s">
        <v>134</v>
      </c>
      <c r="C19" s="13" t="s">
        <v>68</v>
      </c>
      <c r="D19" s="13" t="s">
        <v>69</v>
      </c>
      <c r="E19" s="15" t="s">
        <v>135</v>
      </c>
      <c r="F19" s="13" t="s">
        <v>58</v>
      </c>
      <c r="G19" s="13" t="s">
        <v>90</v>
      </c>
      <c r="H19" s="14" t="s">
        <v>105</v>
      </c>
    </row>
    <row r="20" customFormat="false" ht="15" hidden="false" customHeight="false" outlineLevel="0" collapsed="false">
      <c r="A20" s="13" t="s">
        <v>1108</v>
      </c>
      <c r="B20" s="14" t="s">
        <v>1109</v>
      </c>
      <c r="C20" s="13" t="s">
        <v>68</v>
      </c>
      <c r="D20" s="13" t="s">
        <v>69</v>
      </c>
      <c r="E20" s="15" t="s">
        <v>1110</v>
      </c>
      <c r="F20" s="13" t="s">
        <v>58</v>
      </c>
      <c r="G20" s="13" t="s">
        <v>90</v>
      </c>
      <c r="H20" s="14" t="s">
        <v>141</v>
      </c>
    </row>
    <row r="21" customFormat="false" ht="15" hidden="false" customHeight="false" outlineLevel="0" collapsed="false">
      <c r="A21" s="13" t="s">
        <v>1111</v>
      </c>
      <c r="B21" s="14" t="s">
        <v>1112</v>
      </c>
      <c r="C21" s="13" t="s">
        <v>68</v>
      </c>
      <c r="D21" s="13" t="s">
        <v>69</v>
      </c>
      <c r="E21" s="15" t="s">
        <v>1113</v>
      </c>
      <c r="F21" s="13" t="s">
        <v>58</v>
      </c>
      <c r="G21" s="13" t="s">
        <v>90</v>
      </c>
      <c r="H21" s="14" t="s">
        <v>141</v>
      </c>
    </row>
    <row r="22" customFormat="false" ht="15" hidden="false" customHeight="false" outlineLevel="0" collapsed="false">
      <c r="A22" s="13" t="s">
        <v>1114</v>
      </c>
      <c r="B22" s="14" t="s">
        <v>1115</v>
      </c>
      <c r="C22" s="13" t="s">
        <v>68</v>
      </c>
      <c r="D22" s="13" t="s">
        <v>69</v>
      </c>
      <c r="E22" s="15" t="s">
        <v>1116</v>
      </c>
      <c r="F22" s="13" t="s">
        <v>58</v>
      </c>
      <c r="G22" s="13" t="s">
        <v>90</v>
      </c>
      <c r="H22" s="14" t="s">
        <v>141</v>
      </c>
    </row>
    <row r="23" customFormat="false" ht="15" hidden="false" customHeight="false" outlineLevel="0" collapsed="false">
      <c r="A23" s="13" t="s">
        <v>1117</v>
      </c>
      <c r="B23" s="14" t="s">
        <v>1118</v>
      </c>
      <c r="C23" s="13" t="s">
        <v>68</v>
      </c>
      <c r="D23" s="13" t="s">
        <v>69</v>
      </c>
      <c r="E23" s="15" t="s">
        <v>1119</v>
      </c>
      <c r="F23" s="13" t="s">
        <v>58</v>
      </c>
      <c r="G23" s="13" t="s">
        <v>90</v>
      </c>
      <c r="H23" s="14" t="s">
        <v>141</v>
      </c>
    </row>
    <row r="24" customFormat="false" ht="15" hidden="false" customHeight="false" outlineLevel="0" collapsed="false">
      <c r="A24" s="13" t="s">
        <v>1120</v>
      </c>
      <c r="B24" s="14" t="s">
        <v>1121</v>
      </c>
      <c r="C24" s="13" t="s">
        <v>80</v>
      </c>
      <c r="D24" s="13" t="s">
        <v>75</v>
      </c>
      <c r="E24" s="15" t="s">
        <v>1122</v>
      </c>
      <c r="F24" s="13" t="s">
        <v>58</v>
      </c>
      <c r="G24" s="13" t="s">
        <v>140</v>
      </c>
      <c r="H24" s="14" t="s">
        <v>141</v>
      </c>
    </row>
    <row r="25" customFormat="false" ht="15" hidden="false" customHeight="false" outlineLevel="0" collapsed="false">
      <c r="A25" s="13" t="s">
        <v>1123</v>
      </c>
      <c r="B25" s="14" t="s">
        <v>1124</v>
      </c>
      <c r="C25" s="13" t="s">
        <v>80</v>
      </c>
      <c r="D25" s="13" t="s">
        <v>75</v>
      </c>
      <c r="E25" s="15" t="s">
        <v>1125</v>
      </c>
      <c r="F25" s="13" t="s">
        <v>58</v>
      </c>
      <c r="G25" s="13" t="s">
        <v>140</v>
      </c>
      <c r="H25" s="14" t="s">
        <v>141</v>
      </c>
    </row>
    <row r="26" customFormat="false" ht="15" hidden="false" customHeight="false" outlineLevel="0" collapsed="false">
      <c r="A26" s="13" t="s">
        <v>1126</v>
      </c>
      <c r="B26" s="14" t="s">
        <v>1127</v>
      </c>
      <c r="C26" s="13" t="s">
        <v>74</v>
      </c>
      <c r="D26" s="13" t="s">
        <v>75</v>
      </c>
      <c r="E26" s="15" t="s">
        <v>1128</v>
      </c>
      <c r="F26" s="13" t="s">
        <v>58</v>
      </c>
      <c r="G26" s="13" t="s">
        <v>140</v>
      </c>
      <c r="H26" s="14" t="s">
        <v>141</v>
      </c>
    </row>
    <row r="27" customFormat="false" ht="23.85" hidden="false" customHeight="false" outlineLevel="0" collapsed="false">
      <c r="A27" s="13" t="s">
        <v>1129</v>
      </c>
      <c r="B27" s="14" t="s">
        <v>1130</v>
      </c>
      <c r="C27" s="13" t="s">
        <v>74</v>
      </c>
      <c r="D27" s="13" t="s">
        <v>75</v>
      </c>
      <c r="E27" s="15" t="s">
        <v>1131</v>
      </c>
      <c r="F27" s="13" t="s">
        <v>145</v>
      </c>
      <c r="G27" s="13" t="s">
        <v>140</v>
      </c>
      <c r="H27" s="14" t="s">
        <v>1132</v>
      </c>
    </row>
    <row r="28" customFormat="false" ht="15" hidden="false" customHeight="false" outlineLevel="0" collapsed="false">
      <c r="A28" s="13" t="s">
        <v>1133</v>
      </c>
      <c r="B28" s="14" t="s">
        <v>1134</v>
      </c>
      <c r="C28" s="13" t="s">
        <v>68</v>
      </c>
      <c r="D28" s="13" t="s">
        <v>69</v>
      </c>
      <c r="E28" s="15" t="s">
        <v>1135</v>
      </c>
      <c r="F28" s="13" t="s">
        <v>58</v>
      </c>
      <c r="G28" s="13" t="s">
        <v>140</v>
      </c>
      <c r="H28" s="14" t="s">
        <v>141</v>
      </c>
    </row>
    <row r="29" customFormat="false" ht="15" hidden="false" customHeight="false" outlineLevel="0" collapsed="false">
      <c r="A29" s="13" t="s">
        <v>1136</v>
      </c>
      <c r="B29" s="14" t="s">
        <v>1137</v>
      </c>
      <c r="C29" s="13" t="s">
        <v>68</v>
      </c>
      <c r="D29" s="13" t="s">
        <v>69</v>
      </c>
      <c r="E29" s="15" t="s">
        <v>1138</v>
      </c>
      <c r="F29" s="13" t="s">
        <v>58</v>
      </c>
      <c r="G29" s="13" t="s">
        <v>140</v>
      </c>
      <c r="H29" s="14" t="s">
        <v>141</v>
      </c>
    </row>
    <row r="30" customFormat="false" ht="15" hidden="false" customHeight="false" outlineLevel="0" collapsed="false">
      <c r="A30" s="13" t="s">
        <v>1139</v>
      </c>
      <c r="B30" s="14" t="s">
        <v>1140</v>
      </c>
      <c r="C30" s="13" t="s">
        <v>68</v>
      </c>
      <c r="D30" s="13" t="s">
        <v>69</v>
      </c>
      <c r="E30" s="15" t="s">
        <v>1141</v>
      </c>
      <c r="F30" s="13" t="s">
        <v>58</v>
      </c>
      <c r="G30" s="13" t="s">
        <v>140</v>
      </c>
      <c r="H30" s="14" t="s">
        <v>141</v>
      </c>
    </row>
    <row r="31" customFormat="false" ht="23.85" hidden="false" customHeight="false" outlineLevel="0" collapsed="false">
      <c r="A31" s="13" t="s">
        <v>1142</v>
      </c>
      <c r="B31" s="14" t="s">
        <v>1143</v>
      </c>
      <c r="C31" s="13" t="s">
        <v>68</v>
      </c>
      <c r="D31" s="13" t="s">
        <v>471</v>
      </c>
      <c r="E31" s="15" t="s">
        <v>1144</v>
      </c>
      <c r="F31" s="13" t="s">
        <v>58</v>
      </c>
      <c r="G31" s="13" t="s">
        <v>140</v>
      </c>
      <c r="H31" s="14" t="s">
        <v>495</v>
      </c>
    </row>
    <row r="32" customFormat="false" ht="23.85" hidden="false" customHeight="false" outlineLevel="0" collapsed="false">
      <c r="A32" s="13" t="s">
        <v>1145</v>
      </c>
      <c r="B32" s="14" t="s">
        <v>1146</v>
      </c>
      <c r="C32" s="13" t="s">
        <v>68</v>
      </c>
      <c r="D32" s="13" t="s">
        <v>471</v>
      </c>
      <c r="E32" s="15" t="s">
        <v>1147</v>
      </c>
      <c r="F32" s="13" t="s">
        <v>58</v>
      </c>
      <c r="G32" s="13" t="s">
        <v>140</v>
      </c>
      <c r="H32" s="14" t="s">
        <v>495</v>
      </c>
    </row>
    <row r="33" customFormat="false" ht="23.85" hidden="false" customHeight="false" outlineLevel="0" collapsed="false">
      <c r="A33" s="13" t="s">
        <v>1148</v>
      </c>
      <c r="B33" s="14" t="s">
        <v>1149</v>
      </c>
      <c r="C33" s="13" t="s">
        <v>68</v>
      </c>
      <c r="D33" s="13" t="s">
        <v>471</v>
      </c>
      <c r="E33" s="15" t="s">
        <v>1150</v>
      </c>
      <c r="F33" s="13" t="s">
        <v>58</v>
      </c>
      <c r="G33" s="13" t="s">
        <v>140</v>
      </c>
      <c r="H33" s="14" t="s">
        <v>495</v>
      </c>
    </row>
    <row r="34" customFormat="false" ht="15" hidden="false" customHeight="false" outlineLevel="0" collapsed="false">
      <c r="A34" s="13" t="s">
        <v>1151</v>
      </c>
      <c r="B34" s="14" t="s">
        <v>1152</v>
      </c>
      <c r="C34" s="13" t="s">
        <v>68</v>
      </c>
      <c r="D34" s="13" t="s">
        <v>69</v>
      </c>
      <c r="E34" s="15" t="s">
        <v>1153</v>
      </c>
      <c r="F34" s="13" t="s">
        <v>58</v>
      </c>
      <c r="G34" s="13" t="s">
        <v>140</v>
      </c>
      <c r="H34" s="14" t="s">
        <v>141</v>
      </c>
    </row>
    <row r="35" customFormat="false" ht="15" hidden="false" customHeight="false" outlineLevel="0" collapsed="false">
      <c r="A35" s="13" t="s">
        <v>1154</v>
      </c>
      <c r="B35" s="14" t="s">
        <v>1155</v>
      </c>
      <c r="C35" s="13" t="s">
        <v>68</v>
      </c>
      <c r="D35" s="13" t="s">
        <v>69</v>
      </c>
      <c r="E35" s="15" t="s">
        <v>1156</v>
      </c>
      <c r="F35" s="13" t="s">
        <v>58</v>
      </c>
      <c r="G35" s="13" t="s">
        <v>140</v>
      </c>
      <c r="H35" s="14" t="s">
        <v>141</v>
      </c>
    </row>
    <row r="36" customFormat="false" ht="15" hidden="false" customHeight="false" outlineLevel="0" collapsed="false">
      <c r="A36" s="11" t="s">
        <v>810</v>
      </c>
      <c r="B36" s="12"/>
      <c r="C36" s="12"/>
      <c r="D36" s="12"/>
      <c r="E36" s="12"/>
      <c r="F36" s="12"/>
      <c r="G36" s="12"/>
      <c r="H36" s="12"/>
    </row>
    <row r="37" customFormat="false" ht="15" hidden="false" customHeight="false" outlineLevel="0" collapsed="false">
      <c r="A37" s="13" t="s">
        <v>1157</v>
      </c>
      <c r="B37" s="14" t="s">
        <v>1158</v>
      </c>
      <c r="C37" s="13" t="s">
        <v>74</v>
      </c>
      <c r="D37" s="13" t="s">
        <v>56</v>
      </c>
      <c r="E37" s="15" t="s">
        <v>1159</v>
      </c>
      <c r="F37" s="13" t="s">
        <v>212</v>
      </c>
      <c r="G37" s="13" t="s">
        <v>59</v>
      </c>
      <c r="H37" s="14" t="s">
        <v>1160</v>
      </c>
    </row>
    <row r="38" customFormat="false" ht="15" hidden="false" customHeight="false" outlineLevel="0" collapsed="false">
      <c r="A38" s="11" t="s">
        <v>1161</v>
      </c>
      <c r="B38" s="12"/>
      <c r="C38" s="12"/>
      <c r="D38" s="12"/>
      <c r="E38" s="12"/>
      <c r="F38" s="12"/>
      <c r="G38" s="12"/>
      <c r="H38" s="12"/>
    </row>
    <row r="39" customFormat="false" ht="23.85" hidden="false" customHeight="false" outlineLevel="0" collapsed="false">
      <c r="A39" s="13" t="s">
        <v>1162</v>
      </c>
      <c r="B39" s="14" t="s">
        <v>1163</v>
      </c>
      <c r="C39" s="13" t="s">
        <v>80</v>
      </c>
      <c r="D39" s="13" t="s">
        <v>75</v>
      </c>
      <c r="E39" s="15" t="s">
        <v>1164</v>
      </c>
      <c r="F39" s="13" t="s">
        <v>212</v>
      </c>
      <c r="G39" s="13" t="s">
        <v>90</v>
      </c>
      <c r="H39" s="14" t="s">
        <v>1165</v>
      </c>
    </row>
    <row r="40" customFormat="false" ht="15" hidden="false" customHeight="false" outlineLevel="0" collapsed="false">
      <c r="A40" s="13" t="s">
        <v>608</v>
      </c>
      <c r="B40" s="14" t="s">
        <v>609</v>
      </c>
      <c r="C40" s="13" t="s">
        <v>63</v>
      </c>
      <c r="D40" s="13" t="s">
        <v>56</v>
      </c>
      <c r="E40" s="15" t="s">
        <v>610</v>
      </c>
      <c r="F40" s="13" t="s">
        <v>212</v>
      </c>
      <c r="G40" s="13" t="s">
        <v>90</v>
      </c>
      <c r="H40" s="14" t="s">
        <v>1166</v>
      </c>
    </row>
    <row r="41" customFormat="false" ht="15" hidden="false" customHeight="false" outlineLevel="0" collapsed="false">
      <c r="A41" s="13" t="s">
        <v>1167</v>
      </c>
      <c r="B41" s="14" t="s">
        <v>1168</v>
      </c>
      <c r="C41" s="13" t="s">
        <v>74</v>
      </c>
      <c r="D41" s="13" t="s">
        <v>56</v>
      </c>
      <c r="E41" s="15" t="s">
        <v>1169</v>
      </c>
      <c r="F41" s="13" t="s">
        <v>212</v>
      </c>
      <c r="G41" s="13" t="s">
        <v>90</v>
      </c>
      <c r="H41" s="14" t="s">
        <v>1170</v>
      </c>
    </row>
    <row r="42" customFormat="false" ht="15" hidden="false" customHeight="false" outlineLevel="0" collapsed="false">
      <c r="A42" s="13" t="s">
        <v>1171</v>
      </c>
      <c r="B42" s="14" t="s">
        <v>1172</v>
      </c>
      <c r="C42" s="13" t="s">
        <v>74</v>
      </c>
      <c r="D42" s="13" t="s">
        <v>56</v>
      </c>
      <c r="E42" s="15" t="s">
        <v>1173</v>
      </c>
      <c r="F42" s="13" t="s">
        <v>212</v>
      </c>
      <c r="G42" s="13" t="s">
        <v>90</v>
      </c>
      <c r="H42" s="14" t="s">
        <v>1174</v>
      </c>
    </row>
    <row r="43" customFormat="false" ht="15" hidden="false" customHeight="false" outlineLevel="0" collapsed="false">
      <c r="A43" s="13" t="s">
        <v>1175</v>
      </c>
      <c r="B43" s="14" t="s">
        <v>1176</v>
      </c>
      <c r="C43" s="13" t="s">
        <v>74</v>
      </c>
      <c r="D43" s="13" t="s">
        <v>56</v>
      </c>
      <c r="E43" s="15" t="s">
        <v>1177</v>
      </c>
      <c r="F43" s="13" t="s">
        <v>212</v>
      </c>
      <c r="G43" s="13" t="s">
        <v>90</v>
      </c>
      <c r="H43" s="14" t="s">
        <v>1178</v>
      </c>
    </row>
    <row r="44" customFormat="false" ht="15" hidden="false" customHeight="false" outlineLevel="0" collapsed="false">
      <c r="A44" s="13" t="s">
        <v>1179</v>
      </c>
      <c r="B44" s="14" t="s">
        <v>1180</v>
      </c>
      <c r="C44" s="13" t="s">
        <v>74</v>
      </c>
      <c r="D44" s="13" t="s">
        <v>56</v>
      </c>
      <c r="E44" s="15" t="s">
        <v>1181</v>
      </c>
      <c r="F44" s="13" t="s">
        <v>212</v>
      </c>
      <c r="G44" s="13" t="s">
        <v>90</v>
      </c>
      <c r="H44" s="14" t="s">
        <v>1182</v>
      </c>
    </row>
    <row r="45" customFormat="false" ht="15" hidden="false" customHeight="false" outlineLevel="0" collapsed="false">
      <c r="A45" s="13" t="s">
        <v>1183</v>
      </c>
      <c r="B45" s="14" t="s">
        <v>1184</v>
      </c>
      <c r="C45" s="13" t="s">
        <v>74</v>
      </c>
      <c r="D45" s="13" t="s">
        <v>56</v>
      </c>
      <c r="E45" s="15" t="s">
        <v>1185</v>
      </c>
      <c r="F45" s="13" t="s">
        <v>212</v>
      </c>
      <c r="G45" s="13" t="s">
        <v>90</v>
      </c>
      <c r="H45" s="14" t="s">
        <v>1186</v>
      </c>
    </row>
    <row r="46" customFormat="false" ht="15" hidden="false" customHeight="false" outlineLevel="0" collapsed="false">
      <c r="A46" s="13" t="s">
        <v>1187</v>
      </c>
      <c r="B46" s="14" t="s">
        <v>1188</v>
      </c>
      <c r="C46" s="13" t="s">
        <v>80</v>
      </c>
      <c r="D46" s="13" t="s">
        <v>75</v>
      </c>
      <c r="E46" s="15" t="s">
        <v>1189</v>
      </c>
      <c r="F46" s="13" t="s">
        <v>212</v>
      </c>
      <c r="G46" s="13" t="s">
        <v>140</v>
      </c>
      <c r="H46" s="14" t="s">
        <v>1190</v>
      </c>
    </row>
    <row r="47" customFormat="false" ht="15" hidden="false" customHeight="false" outlineLevel="0" collapsed="false">
      <c r="A47" s="13" t="s">
        <v>1191</v>
      </c>
      <c r="B47" s="14" t="s">
        <v>1192</v>
      </c>
      <c r="C47" s="13" t="s">
        <v>74</v>
      </c>
      <c r="D47" s="13" t="s">
        <v>56</v>
      </c>
      <c r="E47" s="15" t="s">
        <v>1193</v>
      </c>
      <c r="F47" s="13" t="s">
        <v>212</v>
      </c>
      <c r="G47" s="13" t="s">
        <v>140</v>
      </c>
      <c r="H47" s="14" t="s">
        <v>1194</v>
      </c>
    </row>
    <row r="48" customFormat="false" ht="15" hidden="false" customHeight="false" outlineLevel="0" collapsed="false">
      <c r="A48" s="13" t="s">
        <v>1195</v>
      </c>
      <c r="B48" s="14" t="s">
        <v>1196</v>
      </c>
      <c r="C48" s="13" t="s">
        <v>74</v>
      </c>
      <c r="D48" s="13" t="s">
        <v>56</v>
      </c>
      <c r="E48" s="15" t="s">
        <v>1197</v>
      </c>
      <c r="F48" s="13" t="s">
        <v>212</v>
      </c>
      <c r="G48" s="13" t="s">
        <v>140</v>
      </c>
      <c r="H48" s="14" t="s">
        <v>1194</v>
      </c>
    </row>
    <row r="49" customFormat="false" ht="15" hidden="false" customHeight="false" outlineLevel="0" collapsed="false">
      <c r="A49" s="13" t="s">
        <v>1198</v>
      </c>
      <c r="B49" s="14" t="s">
        <v>1199</v>
      </c>
      <c r="C49" s="13" t="s">
        <v>74</v>
      </c>
      <c r="D49" s="13" t="s">
        <v>56</v>
      </c>
      <c r="E49" s="15" t="s">
        <v>1200</v>
      </c>
      <c r="F49" s="13" t="s">
        <v>212</v>
      </c>
      <c r="G49" s="13" t="s">
        <v>140</v>
      </c>
      <c r="H49" s="14" t="s">
        <v>1194</v>
      </c>
    </row>
    <row r="50" customFormat="false" ht="15" hidden="false" customHeight="false" outlineLevel="0" collapsed="false">
      <c r="A50" s="13" t="s">
        <v>1201</v>
      </c>
      <c r="B50" s="14" t="s">
        <v>1202</v>
      </c>
      <c r="C50" s="13" t="s">
        <v>74</v>
      </c>
      <c r="D50" s="13" t="s">
        <v>56</v>
      </c>
      <c r="E50" s="15" t="s">
        <v>1203</v>
      </c>
      <c r="F50" s="13" t="s">
        <v>212</v>
      </c>
      <c r="G50" s="13" t="s">
        <v>140</v>
      </c>
      <c r="H50" s="14" t="s">
        <v>1204</v>
      </c>
    </row>
    <row r="51" customFormat="false" ht="15" hidden="false" customHeight="false" outlineLevel="0" collapsed="false">
      <c r="A51" s="11" t="s">
        <v>1205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false" outlineLevel="0" collapsed="false">
      <c r="A52" s="13" t="s">
        <v>1206</v>
      </c>
      <c r="B52" s="14" t="s">
        <v>1207</v>
      </c>
      <c r="C52" s="13" t="s">
        <v>68</v>
      </c>
      <c r="D52" s="13" t="s">
        <v>471</v>
      </c>
      <c r="E52" s="15" t="s">
        <v>555</v>
      </c>
      <c r="F52" s="13" t="s">
        <v>271</v>
      </c>
      <c r="G52" s="13" t="s">
        <v>90</v>
      </c>
      <c r="H52" s="14" t="s">
        <v>1208</v>
      </c>
    </row>
    <row r="53" customFormat="false" ht="15" hidden="false" customHeight="false" outlineLevel="0" collapsed="false">
      <c r="A53" s="13" t="s">
        <v>1209</v>
      </c>
      <c r="B53" s="14" t="s">
        <v>1210</v>
      </c>
      <c r="C53" s="13" t="s">
        <v>68</v>
      </c>
      <c r="D53" s="13" t="s">
        <v>69</v>
      </c>
      <c r="E53" s="15" t="s">
        <v>1211</v>
      </c>
      <c r="F53" s="13" t="s">
        <v>212</v>
      </c>
      <c r="G53" s="13" t="s">
        <v>90</v>
      </c>
      <c r="H53" s="14" t="s">
        <v>1212</v>
      </c>
    </row>
    <row r="54" customFormat="false" ht="23.85" hidden="false" customHeight="false" outlineLevel="0" collapsed="false">
      <c r="A54" s="13" t="s">
        <v>1213</v>
      </c>
      <c r="B54" s="14" t="s">
        <v>1214</v>
      </c>
      <c r="C54" s="13" t="s">
        <v>68</v>
      </c>
      <c r="D54" s="13" t="s">
        <v>69</v>
      </c>
      <c r="E54" s="15" t="s">
        <v>1215</v>
      </c>
      <c r="F54" s="13" t="s">
        <v>212</v>
      </c>
      <c r="G54" s="13" t="s">
        <v>90</v>
      </c>
      <c r="H54" s="14" t="s">
        <v>1216</v>
      </c>
    </row>
    <row r="55" customFormat="false" ht="23.85" hidden="false" customHeight="false" outlineLevel="0" collapsed="false">
      <c r="A55" s="13" t="s">
        <v>1217</v>
      </c>
      <c r="B55" s="14" t="s">
        <v>1218</v>
      </c>
      <c r="C55" s="13" t="s">
        <v>68</v>
      </c>
      <c r="D55" s="13" t="s">
        <v>69</v>
      </c>
      <c r="E55" s="15" t="s">
        <v>1219</v>
      </c>
      <c r="F55" s="13" t="s">
        <v>212</v>
      </c>
      <c r="G55" s="13" t="s">
        <v>90</v>
      </c>
      <c r="H55" s="14" t="s">
        <v>1220</v>
      </c>
    </row>
    <row r="56" customFormat="false" ht="23.85" hidden="false" customHeight="false" outlineLevel="0" collapsed="false">
      <c r="A56" s="13" t="s">
        <v>1221</v>
      </c>
      <c r="B56" s="14" t="s">
        <v>1222</v>
      </c>
      <c r="C56" s="13" t="s">
        <v>68</v>
      </c>
      <c r="D56" s="13" t="s">
        <v>69</v>
      </c>
      <c r="E56" s="15" t="s">
        <v>1223</v>
      </c>
      <c r="F56" s="13" t="s">
        <v>212</v>
      </c>
      <c r="G56" s="13" t="s">
        <v>90</v>
      </c>
      <c r="H56" s="14" t="s">
        <v>1224</v>
      </c>
    </row>
    <row r="58" customFormat="false" ht="15" hidden="false" customHeight="false" outlineLevel="0" collapsed="false">
      <c r="A58" s="7" t="s">
        <v>304</v>
      </c>
    </row>
    <row r="59" customFormat="false" ht="26.85" hidden="false" customHeight="false" outlineLevel="0" collapsed="false">
      <c r="A59" s="3" t="s">
        <v>305</v>
      </c>
      <c r="B59" s="3" t="s">
        <v>306</v>
      </c>
      <c r="C59" s="3" t="s">
        <v>307</v>
      </c>
      <c r="D59" s="3" t="s">
        <v>308</v>
      </c>
    </row>
    <row r="60" customFormat="false" ht="15" hidden="false" customHeight="false" outlineLevel="0" collapsed="false">
      <c r="A60" s="16" t="s">
        <v>1225</v>
      </c>
    </row>
  </sheetData>
  <hyperlinks>
    <hyperlink ref="E6" r:id="rId1" display="http://www.secretariasenado.gov.co/senado/basedoc/constitucion_politica_1991.html?q=Constitucion"/>
    <hyperlink ref="E7" r:id="rId2" display="http://www.secretariasenado.gov.co/senado/basedoc/?q=Codigo%20sustantivo%20trabajo"/>
    <hyperlink ref="E8" r:id="rId3" display="https://www.suin-juriscol.gov.co/legislacion/?q=Ley%2080%20de%201993"/>
    <hyperlink ref="E9" r:id="rId4" display="https://www.corteconstitucional.gov.co/relatoria/?q=Sentencia%20SL-3385%20de%202022"/>
    <hyperlink ref="E10" r:id="rId5" display="https://www.suin-juriscol.gov.co/legislacion/?q=Ley%201010%20de%202006"/>
    <hyperlink ref="E11" r:id="rId6" display="https://www.suin-juriscol.gov.co/legislacion/?q=Ley%202452%20de%202025"/>
    <hyperlink ref="E12" r:id="rId7" display="https://www.suin-juriscol.gov.co/legislacion/?q=Ley%202466%20de%202025"/>
    <hyperlink ref="E13" r:id="rId8" display="https://www.suin-juriscol.gov.co/legislacion/?q=Ley%201562%20de%202012"/>
    <hyperlink ref="E14" r:id="rId9" display="https://www.corteconstitucional.gov.co/relatoria/?q=Sentencia%20T-243%20de%202018"/>
    <hyperlink ref="E15" r:id="rId10" display="https://www.suin-juriscol.gov.co/legislacion/?q=Ley%202141%20de%202021"/>
    <hyperlink ref="E16" r:id="rId11" display="https://www.suin-juriscol.gov.co/legislacion/?q=Ley%2050%20de%201990"/>
    <hyperlink ref="E17" r:id="rId12" display="https://www.corteconstitucional.gov.co/relatoria/?q=Sentencia%20SL-648%20de%202018"/>
    <hyperlink ref="E18" r:id="rId13" display="https://www.corteconstitucional.gov.co/relatoria/?q=Sentencia%20SU-111%20de%202025"/>
    <hyperlink ref="E19" r:id="rId14" display="https://www.corteconstitucional.gov.co/relatoria/?q=Sentencia%20T-547%20de%202017"/>
    <hyperlink ref="E20" r:id="rId15" display="https://www.corteconstitucional.gov.co/relatoria/?q=Sentencia%20SU-27%20de%202021"/>
    <hyperlink ref="E21" r:id="rId16" display="https://www.corteconstitucional.gov.co/relatoria/?q=Sentencia%20SU-149%20de%202021"/>
    <hyperlink ref="E22" r:id="rId17" display="https://www.corteconstitucional.gov.co/relatoria/?q=Sentencia%20SU-296%20de%202023"/>
    <hyperlink ref="E23" r:id="rId18" display="https://www.corteconstitucional.gov.co/relatoria/?q=Sentencia%20SU-396%20de%202024"/>
    <hyperlink ref="E24" r:id="rId19" display="https://www.suin-juriscol.gov.co/legislacion/?q=Decreto%20405%20de%202025"/>
    <hyperlink ref="E25" r:id="rId20" display="https://www.suin-juriscol.gov.co/legislacion/?q=Decreto%20875%20de%202008"/>
    <hyperlink ref="E26" r:id="rId21" display="https://www.suin-juriscol.gov.co/legislacion/?q=Ley%202114%20de%202021"/>
    <hyperlink ref="E27" r:id="rId22" display="https://www.suin-juriscol.gov.co/legislacion/?q=Ley%202737%20de%201989"/>
    <hyperlink ref="E28" r:id="rId23" display="https://www.corteconstitucional.gov.co/relatoria/?q=Sentencia%20C-170%20de%202004"/>
    <hyperlink ref="E29" r:id="rId24" display="https://www.corteconstitucional.gov.co/relatoria/?q=Sentencia%20C-201%20de%202002"/>
    <hyperlink ref="E30" r:id="rId25" display="https://www.corteconstitucional.gov.co/relatoria/?q=Sentencia%20C-535%20de%202002"/>
    <hyperlink ref="E31" r:id="rId26" display="https://www.corteconstitucional.gov.co/relatoria/?q=Sentencia%20SL-1050%20de%202023"/>
    <hyperlink ref="E32" r:id="rId27" display="https://www.corteconstitucional.gov.co/relatoria/?q=Sentencia%20SL-1730%20de%202020"/>
    <hyperlink ref="E33" r:id="rId28" display="https://www.corteconstitucional.gov.co/relatoria/?q=Sentencia%20SL-1972%20de%202025"/>
    <hyperlink ref="E34" r:id="rId29" display="https://www.corteconstitucional.gov.co/relatoria/?q=Sentencia%20T-1059%20de%202001"/>
    <hyperlink ref="E35" r:id="rId30" display="https://www.corteconstitucional.gov.co/relatoria/?q=Sentencia%20T-145%20de%202016"/>
    <hyperlink ref="E37" r:id="rId31" display="http://www.secretariasenado.gov.co/senado/basedoc/ley_0100_1993.html"/>
    <hyperlink ref="E39" r:id="rId32" display="https://www.suin-juriscol.gov.co/legislacion/?q=Decreto%201072%20de%202015"/>
    <hyperlink ref="E40" r:id="rId33" display="http://www.secretariasenado.gov.co/senado/basedoc/codigo_procedimental_laboral.html"/>
    <hyperlink ref="E41" r:id="rId34" display="http://www.secretariasenado.gov.co/senado/basedoc/ley_1822_2017.html"/>
    <hyperlink ref="E42" r:id="rId35" display="http://www.secretariasenado.gov.co/senado/basedoc/ley_2101_2021.html"/>
    <hyperlink ref="E43" r:id="rId36" display="http://www.secretariasenado.gov.co/senado/basedoc/ley_2381_2024.html"/>
    <hyperlink ref="E44" r:id="rId37" display="http://www.secretariasenado.gov.co/senado/basedoc/ley_0361_1997.html"/>
    <hyperlink ref="E45" r:id="rId38" display="http://www.secretariasenado.gov.co/senado/basedoc/ley_0789_2002.html"/>
    <hyperlink ref="E46" r:id="rId39" display="https://www.suin-juriscol.gov.co/legislacion/?q=Decreto%201295%20de%201994"/>
    <hyperlink ref="E47" r:id="rId40" display="http://www.secretariasenado.gov.co/senado/basedoc/ley_1221_2008.html"/>
    <hyperlink ref="E48" r:id="rId41" display="http://www.secretariasenado.gov.co/senado/basedoc/ley_2088_2021.html"/>
    <hyperlink ref="E49" r:id="rId42" display="http://www.secretariasenado.gov.co/senado/basedoc/ley_2121_2021.html"/>
    <hyperlink ref="E50" r:id="rId43" display="http://www.secretariasenado.gov.co/senado/basedoc/ley_0776_2002.html"/>
    <hyperlink ref="E52" r:id="rId44" display="https://cortesuprema.gov.co"/>
    <hyperlink ref="E53" r:id="rId45" display="https://www.corteconstitucional.gov.co/relatoria/?q=Sentencia%20C-264%20de%202026"/>
    <hyperlink ref="E54" r:id="rId46" display="https://www.corteconstitucional.gov.co/relatoria/?q=Sentencia%20C-614%20de%202009"/>
    <hyperlink ref="E55" r:id="rId47" display="https://www.corteconstitucional.gov.co/relatoria/?q=Sentencia%20SU-049%20de%202017"/>
    <hyperlink ref="E56" r:id="rId48" display="https://www.corteconstitucional.gov.co/relatoria/?q=Sentencia%20SU-075%20de%20201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0" t="s">
        <v>1226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</row>
    <row r="5" customFormat="false" ht="15" hidden="false" customHeight="false" outlineLevel="0" collapsed="false">
      <c r="A5" s="11" t="s">
        <v>1227</v>
      </c>
      <c r="B5" s="12"/>
      <c r="C5" s="12"/>
      <c r="D5" s="12"/>
      <c r="E5" s="12"/>
      <c r="F5" s="12"/>
      <c r="G5" s="12"/>
      <c r="H5" s="12"/>
    </row>
    <row r="6" customFormat="false" ht="35.05" hidden="false" customHeight="false" outlineLevel="0" collapsed="false">
      <c r="A6" s="13" t="s">
        <v>53</v>
      </c>
      <c r="B6" s="14" t="s">
        <v>54</v>
      </c>
      <c r="C6" s="13" t="s">
        <v>55</v>
      </c>
      <c r="D6" s="13" t="s">
        <v>56</v>
      </c>
      <c r="E6" s="15" t="s">
        <v>57</v>
      </c>
      <c r="F6" s="13" t="s">
        <v>58</v>
      </c>
      <c r="G6" s="13" t="s">
        <v>59</v>
      </c>
      <c r="H6" s="14" t="s">
        <v>60</v>
      </c>
    </row>
    <row r="7" customFormat="false" ht="23.85" hidden="false" customHeight="false" outlineLevel="0" collapsed="false">
      <c r="A7" s="13" t="s">
        <v>465</v>
      </c>
      <c r="B7" s="14" t="s">
        <v>466</v>
      </c>
      <c r="C7" s="13" t="s">
        <v>63</v>
      </c>
      <c r="D7" s="13" t="s">
        <v>56</v>
      </c>
      <c r="E7" s="15" t="s">
        <v>467</v>
      </c>
      <c r="F7" s="13" t="s">
        <v>58</v>
      </c>
      <c r="G7" s="13" t="s">
        <v>59</v>
      </c>
      <c r="H7" s="14" t="s">
        <v>468</v>
      </c>
    </row>
    <row r="8" customFormat="false" ht="15" hidden="false" customHeight="false" outlineLevel="0" collapsed="false">
      <c r="A8" s="13" t="s">
        <v>636</v>
      </c>
      <c r="B8" s="14" t="s">
        <v>637</v>
      </c>
      <c r="C8" s="13" t="s">
        <v>638</v>
      </c>
      <c r="D8" s="13" t="s">
        <v>56</v>
      </c>
      <c r="E8" s="15" t="s">
        <v>639</v>
      </c>
      <c r="F8" s="13" t="s">
        <v>58</v>
      </c>
      <c r="G8" s="13" t="s">
        <v>59</v>
      </c>
      <c r="H8" s="14" t="s">
        <v>640</v>
      </c>
    </row>
    <row r="9" customFormat="false" ht="23.85" hidden="false" customHeight="false" outlineLevel="0" collapsed="false">
      <c r="A9" s="13" t="s">
        <v>748</v>
      </c>
      <c r="B9" s="14" t="s">
        <v>749</v>
      </c>
      <c r="C9" s="13" t="s">
        <v>63</v>
      </c>
      <c r="D9" s="13" t="s">
        <v>56</v>
      </c>
      <c r="E9" s="15" t="s">
        <v>750</v>
      </c>
      <c r="F9" s="13" t="s">
        <v>58</v>
      </c>
      <c r="G9" s="13" t="s">
        <v>59</v>
      </c>
      <c r="H9" s="14" t="s">
        <v>751</v>
      </c>
    </row>
    <row r="10" customFormat="false" ht="15" hidden="false" customHeight="false" outlineLevel="0" collapsed="false">
      <c r="A10" s="13" t="s">
        <v>1228</v>
      </c>
      <c r="B10" s="14" t="s">
        <v>1229</v>
      </c>
      <c r="C10" s="13" t="s">
        <v>80</v>
      </c>
      <c r="D10" s="13" t="s">
        <v>75</v>
      </c>
      <c r="E10" s="15" t="s">
        <v>1230</v>
      </c>
      <c r="F10" s="13" t="s">
        <v>58</v>
      </c>
      <c r="G10" s="13" t="s">
        <v>59</v>
      </c>
      <c r="H10" s="14" t="s">
        <v>1231</v>
      </c>
    </row>
    <row r="11" customFormat="false" ht="15" hidden="false" customHeight="false" outlineLevel="0" collapsed="false">
      <c r="A11" s="13" t="s">
        <v>72</v>
      </c>
      <c r="B11" s="14" t="s">
        <v>73</v>
      </c>
      <c r="C11" s="13" t="s">
        <v>74</v>
      </c>
      <c r="D11" s="13" t="s">
        <v>75</v>
      </c>
      <c r="E11" s="15" t="s">
        <v>76</v>
      </c>
      <c r="F11" s="13" t="s">
        <v>58</v>
      </c>
      <c r="G11" s="13" t="s">
        <v>59</v>
      </c>
      <c r="H11" s="14" t="s">
        <v>77</v>
      </c>
    </row>
    <row r="12" customFormat="false" ht="15" hidden="false" customHeight="false" outlineLevel="0" collapsed="false">
      <c r="A12" s="13" t="s">
        <v>1232</v>
      </c>
      <c r="B12" s="14" t="s">
        <v>1233</v>
      </c>
      <c r="C12" s="13" t="s">
        <v>74</v>
      </c>
      <c r="D12" s="13" t="s">
        <v>75</v>
      </c>
      <c r="E12" s="15" t="s">
        <v>1234</v>
      </c>
      <c r="F12" s="13" t="s">
        <v>58</v>
      </c>
      <c r="G12" s="13" t="s">
        <v>59</v>
      </c>
      <c r="H12" s="14" t="s">
        <v>1235</v>
      </c>
    </row>
    <row r="13" customFormat="false" ht="15" hidden="false" customHeight="false" outlineLevel="0" collapsed="false">
      <c r="A13" s="13" t="s">
        <v>1236</v>
      </c>
      <c r="B13" s="14" t="s">
        <v>1237</v>
      </c>
      <c r="C13" s="13" t="s">
        <v>74</v>
      </c>
      <c r="D13" s="13" t="s">
        <v>75</v>
      </c>
      <c r="E13" s="15" t="s">
        <v>1238</v>
      </c>
      <c r="F13" s="13" t="s">
        <v>58</v>
      </c>
      <c r="G13" s="13" t="s">
        <v>59</v>
      </c>
      <c r="H13" s="14" t="s">
        <v>105</v>
      </c>
    </row>
    <row r="14" customFormat="false" ht="23.85" hidden="false" customHeight="false" outlineLevel="0" collapsed="false">
      <c r="A14" s="13" t="s">
        <v>762</v>
      </c>
      <c r="B14" s="14" t="s">
        <v>763</v>
      </c>
      <c r="C14" s="13" t="s">
        <v>68</v>
      </c>
      <c r="D14" s="13" t="s">
        <v>69</v>
      </c>
      <c r="E14" s="15" t="s">
        <v>764</v>
      </c>
      <c r="F14" s="13" t="s">
        <v>58</v>
      </c>
      <c r="G14" s="13" t="s">
        <v>90</v>
      </c>
      <c r="H14" s="14" t="s">
        <v>105</v>
      </c>
    </row>
    <row r="15" customFormat="false" ht="15" hidden="false" customHeight="false" outlineLevel="0" collapsed="false">
      <c r="A15" s="13" t="s">
        <v>1239</v>
      </c>
      <c r="B15" s="14" t="s">
        <v>1240</v>
      </c>
      <c r="C15" s="13" t="s">
        <v>80</v>
      </c>
      <c r="D15" s="13" t="s">
        <v>75</v>
      </c>
      <c r="E15" s="15" t="s">
        <v>1241</v>
      </c>
      <c r="F15" s="13" t="s">
        <v>58</v>
      </c>
      <c r="G15" s="13" t="s">
        <v>140</v>
      </c>
      <c r="H15" s="14" t="s">
        <v>141</v>
      </c>
    </row>
    <row r="16" customFormat="false" ht="15" hidden="false" customHeight="false" outlineLevel="0" collapsed="false">
      <c r="A16" s="13" t="s">
        <v>1242</v>
      </c>
      <c r="B16" s="14" t="s">
        <v>1243</v>
      </c>
      <c r="C16" s="13" t="s">
        <v>74</v>
      </c>
      <c r="D16" s="13" t="s">
        <v>75</v>
      </c>
      <c r="E16" s="15" t="s">
        <v>1244</v>
      </c>
      <c r="F16" s="13" t="s">
        <v>145</v>
      </c>
      <c r="G16" s="13" t="s">
        <v>140</v>
      </c>
      <c r="H16" s="14" t="s">
        <v>1245</v>
      </c>
    </row>
    <row r="17" customFormat="false" ht="15" hidden="false" customHeight="false" outlineLevel="0" collapsed="false">
      <c r="A17" s="13" t="s">
        <v>1246</v>
      </c>
      <c r="B17" s="14" t="s">
        <v>1247</v>
      </c>
      <c r="C17" s="13" t="s">
        <v>74</v>
      </c>
      <c r="D17" s="13" t="s">
        <v>75</v>
      </c>
      <c r="E17" s="15" t="s">
        <v>1248</v>
      </c>
      <c r="F17" s="13" t="s">
        <v>58</v>
      </c>
      <c r="G17" s="13" t="s">
        <v>140</v>
      </c>
      <c r="H17" s="14" t="s">
        <v>141</v>
      </c>
    </row>
    <row r="18" customFormat="false" ht="15" hidden="false" customHeight="false" outlineLevel="0" collapsed="false">
      <c r="A18" s="13" t="s">
        <v>1249</v>
      </c>
      <c r="B18" s="14" t="s">
        <v>1250</v>
      </c>
      <c r="C18" s="13" t="s">
        <v>74</v>
      </c>
      <c r="D18" s="13" t="s">
        <v>75</v>
      </c>
      <c r="E18" s="15" t="s">
        <v>1251</v>
      </c>
      <c r="F18" s="13" t="s">
        <v>58</v>
      </c>
      <c r="G18" s="13" t="s">
        <v>140</v>
      </c>
      <c r="H18" s="14" t="s">
        <v>141</v>
      </c>
    </row>
    <row r="19" customFormat="false" ht="15" hidden="false" customHeight="false" outlineLevel="0" collapsed="false">
      <c r="A19" s="13" t="s">
        <v>1252</v>
      </c>
      <c r="B19" s="14" t="s">
        <v>1253</v>
      </c>
      <c r="C19" s="13" t="s">
        <v>74</v>
      </c>
      <c r="D19" s="13" t="s">
        <v>75</v>
      </c>
      <c r="E19" s="15" t="s">
        <v>1254</v>
      </c>
      <c r="F19" s="13" t="s">
        <v>58</v>
      </c>
      <c r="G19" s="13" t="s">
        <v>140</v>
      </c>
      <c r="H19" s="14" t="s">
        <v>141</v>
      </c>
    </row>
    <row r="20" customFormat="false" ht="15" hidden="false" customHeight="false" outlineLevel="0" collapsed="false">
      <c r="A20" s="13" t="s">
        <v>1255</v>
      </c>
      <c r="B20" s="14" t="s">
        <v>1256</v>
      </c>
      <c r="C20" s="13" t="s">
        <v>68</v>
      </c>
      <c r="D20" s="13" t="s">
        <v>69</v>
      </c>
      <c r="E20" s="15" t="s">
        <v>1257</v>
      </c>
      <c r="F20" s="13" t="s">
        <v>58</v>
      </c>
      <c r="G20" s="13" t="s">
        <v>140</v>
      </c>
      <c r="H20" s="14" t="s">
        <v>141</v>
      </c>
    </row>
    <row r="21" customFormat="false" ht="15" hidden="false" customHeight="false" outlineLevel="0" collapsed="false">
      <c r="A21" s="11" t="s">
        <v>208</v>
      </c>
      <c r="B21" s="12"/>
      <c r="C21" s="12"/>
      <c r="D21" s="12"/>
      <c r="E21" s="12"/>
      <c r="F21" s="12"/>
      <c r="G21" s="12"/>
      <c r="H21" s="12"/>
    </row>
    <row r="22" customFormat="false" ht="23.85" hidden="false" customHeight="false" outlineLevel="0" collapsed="false">
      <c r="A22" s="13" t="s">
        <v>1258</v>
      </c>
      <c r="B22" s="14" t="s">
        <v>1259</v>
      </c>
      <c r="C22" s="13" t="s">
        <v>638</v>
      </c>
      <c r="D22" s="13" t="s">
        <v>56</v>
      </c>
      <c r="E22" s="15" t="s">
        <v>1260</v>
      </c>
      <c r="F22" s="13" t="s">
        <v>212</v>
      </c>
      <c r="G22" s="13" t="s">
        <v>59</v>
      </c>
      <c r="H22" s="14" t="s">
        <v>1261</v>
      </c>
    </row>
    <row r="23" customFormat="false" ht="15" hidden="false" customHeight="false" outlineLevel="0" collapsed="false">
      <c r="A23" s="13" t="s">
        <v>1262</v>
      </c>
      <c r="B23" s="14" t="s">
        <v>1263</v>
      </c>
      <c r="C23" s="13" t="s">
        <v>74</v>
      </c>
      <c r="D23" s="13" t="s">
        <v>56</v>
      </c>
      <c r="E23" s="15" t="s">
        <v>1264</v>
      </c>
      <c r="F23" s="13" t="s">
        <v>212</v>
      </c>
      <c r="G23" s="13" t="s">
        <v>59</v>
      </c>
      <c r="H23" s="14" t="s">
        <v>1265</v>
      </c>
    </row>
    <row r="24" customFormat="false" ht="15" hidden="false" customHeight="false" outlineLevel="0" collapsed="false">
      <c r="A24" s="13" t="s">
        <v>1266</v>
      </c>
      <c r="B24" s="14" t="s">
        <v>1267</v>
      </c>
      <c r="C24" s="13" t="s">
        <v>74</v>
      </c>
      <c r="D24" s="13" t="s">
        <v>56</v>
      </c>
      <c r="E24" s="15" t="s">
        <v>1268</v>
      </c>
      <c r="F24" s="13" t="s">
        <v>212</v>
      </c>
      <c r="G24" s="13" t="s">
        <v>59</v>
      </c>
      <c r="H24" s="14" t="s">
        <v>1269</v>
      </c>
    </row>
    <row r="25" customFormat="false" ht="15" hidden="false" customHeight="false" outlineLevel="0" collapsed="false">
      <c r="A25" s="11" t="s">
        <v>1270</v>
      </c>
      <c r="B25" s="12"/>
      <c r="C25" s="12"/>
      <c r="D25" s="12"/>
      <c r="E25" s="12"/>
      <c r="F25" s="12"/>
      <c r="G25" s="12"/>
      <c r="H25" s="12"/>
    </row>
    <row r="26" customFormat="false" ht="23.85" hidden="false" customHeight="false" outlineLevel="0" collapsed="false">
      <c r="A26" s="13" t="s">
        <v>701</v>
      </c>
      <c r="B26" s="14" t="s">
        <v>702</v>
      </c>
      <c r="C26" s="13" t="s">
        <v>80</v>
      </c>
      <c r="D26" s="13" t="s">
        <v>75</v>
      </c>
      <c r="E26" s="15" t="s">
        <v>703</v>
      </c>
      <c r="F26" s="13" t="s">
        <v>212</v>
      </c>
      <c r="G26" s="13" t="s">
        <v>90</v>
      </c>
      <c r="H26" s="14" t="s">
        <v>1271</v>
      </c>
    </row>
    <row r="27" customFormat="false" ht="15" hidden="false" customHeight="false" outlineLevel="0" collapsed="false">
      <c r="A27" s="13" t="s">
        <v>1272</v>
      </c>
      <c r="B27" s="14" t="s">
        <v>1273</v>
      </c>
      <c r="C27" s="13" t="s">
        <v>80</v>
      </c>
      <c r="D27" s="13" t="s">
        <v>75</v>
      </c>
      <c r="E27" s="15" t="s">
        <v>1274</v>
      </c>
      <c r="F27" s="13" t="s">
        <v>212</v>
      </c>
      <c r="G27" s="13" t="s">
        <v>90</v>
      </c>
      <c r="H27" s="14" t="s">
        <v>1275</v>
      </c>
    </row>
    <row r="28" customFormat="false" ht="15" hidden="false" customHeight="false" outlineLevel="0" collapsed="false">
      <c r="A28" s="13" t="s">
        <v>705</v>
      </c>
      <c r="B28" s="14" t="s">
        <v>706</v>
      </c>
      <c r="C28" s="13" t="s">
        <v>74</v>
      </c>
      <c r="D28" s="13" t="s">
        <v>56</v>
      </c>
      <c r="E28" s="15" t="s">
        <v>707</v>
      </c>
      <c r="F28" s="13" t="s">
        <v>212</v>
      </c>
      <c r="G28" s="13" t="s">
        <v>90</v>
      </c>
      <c r="H28" s="14" t="s">
        <v>1276</v>
      </c>
    </row>
    <row r="29" customFormat="false" ht="23.85" hidden="false" customHeight="false" outlineLevel="0" collapsed="false">
      <c r="A29" s="13" t="s">
        <v>1277</v>
      </c>
      <c r="B29" s="14" t="s">
        <v>1278</v>
      </c>
      <c r="C29" s="13" t="s">
        <v>638</v>
      </c>
      <c r="D29" s="13" t="s">
        <v>56</v>
      </c>
      <c r="E29" s="15" t="s">
        <v>1279</v>
      </c>
      <c r="F29" s="13" t="s">
        <v>212</v>
      </c>
      <c r="G29" s="13" t="s">
        <v>140</v>
      </c>
      <c r="H29" s="14" t="s">
        <v>1280</v>
      </c>
    </row>
    <row r="30" customFormat="false" ht="15" hidden="false" customHeight="false" outlineLevel="0" collapsed="false">
      <c r="A30" s="13" t="s">
        <v>1281</v>
      </c>
      <c r="B30" s="14" t="s">
        <v>1282</v>
      </c>
      <c r="C30" s="13" t="s">
        <v>74</v>
      </c>
      <c r="D30" s="13" t="s">
        <v>56</v>
      </c>
      <c r="E30" s="15" t="s">
        <v>1283</v>
      </c>
      <c r="F30" s="13" t="s">
        <v>212</v>
      </c>
      <c r="G30" s="13" t="s">
        <v>140</v>
      </c>
      <c r="H30" s="14" t="s">
        <v>1284</v>
      </c>
    </row>
    <row r="31" customFormat="false" ht="15" hidden="false" customHeight="false" outlineLevel="0" collapsed="false">
      <c r="A31" s="13" t="s">
        <v>1285</v>
      </c>
      <c r="B31" s="14" t="s">
        <v>1286</v>
      </c>
      <c r="C31" s="13" t="s">
        <v>74</v>
      </c>
      <c r="D31" s="13" t="s">
        <v>56</v>
      </c>
      <c r="E31" s="15" t="s">
        <v>1287</v>
      </c>
      <c r="F31" s="13" t="s">
        <v>212</v>
      </c>
      <c r="G31" s="13" t="s">
        <v>140</v>
      </c>
      <c r="H31" s="14" t="s">
        <v>1288</v>
      </c>
    </row>
    <row r="32" customFormat="false" ht="15" hidden="false" customHeight="false" outlineLevel="0" collapsed="false">
      <c r="A32" s="11" t="s">
        <v>624</v>
      </c>
      <c r="B32" s="12"/>
      <c r="C32" s="12"/>
      <c r="D32" s="12"/>
      <c r="E32" s="12"/>
      <c r="F32" s="12"/>
      <c r="G32" s="12"/>
      <c r="H32" s="12"/>
    </row>
    <row r="33" customFormat="false" ht="23.85" hidden="false" customHeight="false" outlineLevel="0" collapsed="false">
      <c r="A33" s="13" t="s">
        <v>1289</v>
      </c>
      <c r="B33" s="14" t="s">
        <v>1290</v>
      </c>
      <c r="C33" s="13" t="s">
        <v>68</v>
      </c>
      <c r="D33" s="13" t="s">
        <v>69</v>
      </c>
      <c r="E33" s="15" t="s">
        <v>1291</v>
      </c>
      <c r="F33" s="13" t="s">
        <v>212</v>
      </c>
      <c r="G33" s="13" t="s">
        <v>90</v>
      </c>
      <c r="H33" s="14" t="s">
        <v>1292</v>
      </c>
    </row>
    <row r="34" customFormat="false" ht="23.85" hidden="false" customHeight="false" outlineLevel="0" collapsed="false">
      <c r="A34" s="13" t="s">
        <v>1293</v>
      </c>
      <c r="B34" s="14" t="s">
        <v>1294</v>
      </c>
      <c r="C34" s="13" t="s">
        <v>68</v>
      </c>
      <c r="D34" s="13" t="s">
        <v>69</v>
      </c>
      <c r="E34" s="15" t="s">
        <v>1295</v>
      </c>
      <c r="F34" s="13" t="s">
        <v>271</v>
      </c>
      <c r="G34" s="13" t="s">
        <v>90</v>
      </c>
      <c r="H34" s="14" t="s">
        <v>1296</v>
      </c>
    </row>
    <row r="35" customFormat="false" ht="15" hidden="false" customHeight="false" outlineLevel="0" collapsed="false">
      <c r="A35" s="13" t="s">
        <v>1297</v>
      </c>
      <c r="B35" s="14" t="s">
        <v>1298</v>
      </c>
      <c r="C35" s="13" t="s">
        <v>1299</v>
      </c>
      <c r="D35" s="13" t="s">
        <v>1300</v>
      </c>
      <c r="E35" s="15" t="s">
        <v>1301</v>
      </c>
      <c r="F35" s="13" t="s">
        <v>271</v>
      </c>
      <c r="G35" s="13" t="s">
        <v>140</v>
      </c>
      <c r="H35" s="14" t="s">
        <v>1302</v>
      </c>
    </row>
    <row r="37" customFormat="false" ht="15" hidden="false" customHeight="false" outlineLevel="0" collapsed="false">
      <c r="A37" s="7" t="s">
        <v>304</v>
      </c>
    </row>
    <row r="38" customFormat="false" ht="26.85" hidden="false" customHeight="false" outlineLevel="0" collapsed="false">
      <c r="A38" s="3" t="s">
        <v>305</v>
      </c>
      <c r="B38" s="3" t="s">
        <v>306</v>
      </c>
      <c r="C38" s="3" t="s">
        <v>307</v>
      </c>
      <c r="D38" s="3" t="s">
        <v>308</v>
      </c>
    </row>
    <row r="39" customFormat="false" ht="79.85" hidden="false" customHeight="false" outlineLevel="0" collapsed="false">
      <c r="A39" s="14" t="n">
        <v>513</v>
      </c>
      <c r="B39" s="14" t="s">
        <v>1303</v>
      </c>
      <c r="C39" s="14" t="s">
        <v>1304</v>
      </c>
      <c r="D39" s="14" t="s">
        <v>463</v>
      </c>
    </row>
  </sheetData>
  <hyperlinks>
    <hyperlink ref="E6" r:id="rId1" display="http://www.secretariasenado.gov.co/senado/basedoc/constitucion_politica_1991.html?q=Constitucion"/>
    <hyperlink ref="E7" r:id="rId2" display="http://www.secretariasenado.gov.co/senado/basedoc/?q=Codigo%20general%20proceso"/>
    <hyperlink ref="E8" r:id="rId3" display="http://www.secretariasenado.gov.co/senado/basedoc/?q=Decision%20andina%20486"/>
    <hyperlink ref="E9" r:id="rId4" display="http://www.secretariasenado.gov.co/senado/basedoc/?q=Estatuto%20consumidor"/>
    <hyperlink ref="E10" r:id="rId5" display="https://www.suin-juriscol.gov.co/legislacion/?q=Decreto%202153%20de%201992"/>
    <hyperlink ref="E11" r:id="rId6" display="https://www.suin-juriscol.gov.co/legislacion/?q=Ley%201581%20de%202012"/>
    <hyperlink ref="E12" r:id="rId7" display="https://www.suin-juriscol.gov.co/legislacion/?q=Ley%201340%20de%202009"/>
    <hyperlink ref="E13" r:id="rId8" display="https://www.suin-juriscol.gov.co/legislacion/?q=Ley%20256%20de%201996"/>
    <hyperlink ref="E14" r:id="rId9" display="https://www.corteconstitucional.gov.co/relatoria/?q=Sentencia%20C-748%20de%202011"/>
    <hyperlink ref="E15" r:id="rId10" display="https://www.suin-juriscol.gov.co/legislacion/?q=Decreto%204886%20de%202011"/>
    <hyperlink ref="E16" r:id="rId11" display="https://www.suin-juriscol.gov.co/legislacion/?q=Ley%20116%20de%202006"/>
    <hyperlink ref="E17" r:id="rId12" display="https://www.suin-juriscol.gov.co/legislacion/?q=Ley%20155%20de%201959"/>
    <hyperlink ref="E18" r:id="rId13" display="https://www.suin-juriscol.gov.co/legislacion/?q=Ley%202157%20de%202021"/>
    <hyperlink ref="E19" r:id="rId14" display="https://www.suin-juriscol.gov.co/legislacion/?q=Ley%20640%20de%202001"/>
    <hyperlink ref="E20" r:id="rId15" display="https://www.corteconstitucional.gov.co/relatoria/?q=Sentencia%20C-80%20de%202025"/>
    <hyperlink ref="E22" r:id="rId16" display="http://www.secretariasenado.gov.co/senado/basedoc/?q=Decision%20andina%20351"/>
    <hyperlink ref="E23" r:id="rId17" display="http://www.secretariasenado.gov.co/senado/basedoc/ley_1266_2008.html"/>
    <hyperlink ref="E24" r:id="rId18" display="http://www.secretariasenado.gov.co/senado/basedoc/ley_0023_1982.html"/>
    <hyperlink ref="E26" r:id="rId19" display="https://www.suin-juriscol.gov.co/legislacion/?q=Decreto%201074%20de%202015"/>
    <hyperlink ref="E27" r:id="rId20" display="https://www.suin-juriscol.gov.co/legislacion/?q=Decreto%201377%20de%202013"/>
    <hyperlink ref="E28" r:id="rId21" display="http://www.secretariasenado.gov.co/senado/basedoc/ley_1328_2009.html"/>
    <hyperlink ref="E29" r:id="rId22" display="http://www.secretariasenado.gov.co/senado/basedoc/?q=Decision%20andina%20345"/>
    <hyperlink ref="E30" r:id="rId23" display="http://www.secretariasenado.gov.co/senado/basedoc/ley_1915_2018.html"/>
    <hyperlink ref="E31" r:id="rId24" display="http://www.secretariasenado.gov.co/senado/basedoc/ley_0044_1993.html"/>
    <hyperlink ref="E33" r:id="rId25" display="https://www.corteconstitucional.gov.co/relatoria/?q=Sentencia%20C-1011%20de%202008"/>
    <hyperlink ref="E34" r:id="rId26" display="https://www.corteconstitucional.gov.co/relatoria/?q=Sentencia%20C-1141%20de%202000"/>
    <hyperlink ref="E35" r:id="rId27" display="https://www.sic.gov.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9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0" t="s">
        <v>1305</v>
      </c>
    </row>
    <row r="3" customFormat="false" ht="26.85" hidden="false" customHeight="false" outlineLevel="0" collapsed="false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1306</v>
      </c>
    </row>
    <row r="4" customFormat="false" ht="35.05" hidden="false" customHeight="false" outlineLevel="0" collapsed="false">
      <c r="A4" s="13" t="s">
        <v>53</v>
      </c>
      <c r="B4" s="14" t="s">
        <v>54</v>
      </c>
      <c r="C4" s="13" t="s">
        <v>55</v>
      </c>
      <c r="D4" s="13" t="s">
        <v>56</v>
      </c>
      <c r="E4" s="15" t="s">
        <v>57</v>
      </c>
      <c r="F4" s="13" t="s">
        <v>58</v>
      </c>
      <c r="G4" s="13" t="s">
        <v>59</v>
      </c>
      <c r="H4" s="14" t="s">
        <v>60</v>
      </c>
      <c r="I4" s="4" t="s">
        <v>1307</v>
      </c>
    </row>
    <row r="5" customFormat="false" ht="15" hidden="false" customHeight="false" outlineLevel="0" collapsed="false">
      <c r="A5" s="13" t="s">
        <v>636</v>
      </c>
      <c r="B5" s="14" t="s">
        <v>637</v>
      </c>
      <c r="C5" s="13" t="s">
        <v>638</v>
      </c>
      <c r="D5" s="13" t="s">
        <v>56</v>
      </c>
      <c r="E5" s="15" t="s">
        <v>639</v>
      </c>
      <c r="F5" s="13" t="s">
        <v>58</v>
      </c>
      <c r="G5" s="13" t="s">
        <v>59</v>
      </c>
      <c r="H5" s="14" t="s">
        <v>640</v>
      </c>
      <c r="I5" s="4" t="s">
        <v>1308</v>
      </c>
    </row>
    <row r="6" customFormat="false" ht="23.85" hidden="false" customHeight="false" outlineLevel="0" collapsed="false">
      <c r="A6" s="13" t="s">
        <v>326</v>
      </c>
      <c r="B6" s="14" t="s">
        <v>327</v>
      </c>
      <c r="C6" s="13" t="s">
        <v>80</v>
      </c>
      <c r="D6" s="13" t="s">
        <v>75</v>
      </c>
      <c r="E6" s="15" t="s">
        <v>328</v>
      </c>
      <c r="F6" s="13" t="s">
        <v>58</v>
      </c>
      <c r="G6" s="13" t="s">
        <v>59</v>
      </c>
      <c r="H6" s="14" t="s">
        <v>141</v>
      </c>
      <c r="I6" s="4" t="s">
        <v>11</v>
      </c>
    </row>
    <row r="7" customFormat="false" ht="15" hidden="false" customHeight="false" outlineLevel="0" collapsed="false">
      <c r="A7" s="13" t="s">
        <v>78</v>
      </c>
      <c r="B7" s="14" t="s">
        <v>79</v>
      </c>
      <c r="C7" s="13" t="s">
        <v>80</v>
      </c>
      <c r="D7" s="13" t="s">
        <v>75</v>
      </c>
      <c r="E7" s="15" t="s">
        <v>81</v>
      </c>
      <c r="F7" s="13" t="s">
        <v>58</v>
      </c>
      <c r="G7" s="13" t="s">
        <v>59</v>
      </c>
      <c r="H7" s="14" t="s">
        <v>82</v>
      </c>
      <c r="I7" s="4" t="s">
        <v>10</v>
      </c>
    </row>
    <row r="8" customFormat="false" ht="15" hidden="false" customHeight="false" outlineLevel="0" collapsed="false">
      <c r="A8" s="13" t="s">
        <v>1228</v>
      </c>
      <c r="B8" s="14" t="s">
        <v>1229</v>
      </c>
      <c r="C8" s="13" t="s">
        <v>80</v>
      </c>
      <c r="D8" s="13" t="s">
        <v>75</v>
      </c>
      <c r="E8" s="15" t="s">
        <v>1230</v>
      </c>
      <c r="F8" s="13" t="s">
        <v>58</v>
      </c>
      <c r="G8" s="13" t="s">
        <v>59</v>
      </c>
      <c r="H8" s="14" t="s">
        <v>1231</v>
      </c>
      <c r="I8" s="4" t="s">
        <v>19</v>
      </c>
    </row>
    <row r="9" customFormat="false" ht="23.85" hidden="false" customHeight="false" outlineLevel="0" collapsed="false">
      <c r="A9" s="13" t="s">
        <v>1074</v>
      </c>
      <c r="B9" s="14" t="s">
        <v>1075</v>
      </c>
      <c r="C9" s="13" t="s">
        <v>63</v>
      </c>
      <c r="D9" s="13" t="s">
        <v>56</v>
      </c>
      <c r="E9" s="15" t="s">
        <v>1076</v>
      </c>
      <c r="F9" s="13" t="s">
        <v>58</v>
      </c>
      <c r="G9" s="13" t="s">
        <v>59</v>
      </c>
      <c r="H9" s="14" t="s">
        <v>1077</v>
      </c>
      <c r="I9" s="4" t="s">
        <v>18</v>
      </c>
    </row>
    <row r="10" customFormat="false" ht="15" hidden="false" customHeight="false" outlineLevel="0" collapsed="false">
      <c r="A10" s="13" t="s">
        <v>61</v>
      </c>
      <c r="B10" s="14" t="s">
        <v>62</v>
      </c>
      <c r="C10" s="13" t="s">
        <v>63</v>
      </c>
      <c r="D10" s="13" t="s">
        <v>56</v>
      </c>
      <c r="E10" s="15" t="s">
        <v>64</v>
      </c>
      <c r="F10" s="13" t="s">
        <v>58</v>
      </c>
      <c r="G10" s="13" t="s">
        <v>59</v>
      </c>
      <c r="H10" s="14" t="s">
        <v>65</v>
      </c>
      <c r="I10" s="4" t="s">
        <v>1309</v>
      </c>
    </row>
    <row r="11" customFormat="false" ht="15" hidden="false" customHeight="false" outlineLevel="0" collapsed="false">
      <c r="A11" s="13" t="s">
        <v>644</v>
      </c>
      <c r="B11" s="14" t="s">
        <v>645</v>
      </c>
      <c r="C11" s="13" t="s">
        <v>80</v>
      </c>
      <c r="D11" s="13" t="s">
        <v>75</v>
      </c>
      <c r="E11" s="15" t="s">
        <v>646</v>
      </c>
      <c r="F11" s="13" t="s">
        <v>58</v>
      </c>
      <c r="G11" s="13" t="s">
        <v>59</v>
      </c>
      <c r="H11" s="14" t="s">
        <v>647</v>
      </c>
      <c r="I11" s="4" t="s">
        <v>14</v>
      </c>
    </row>
    <row r="12" customFormat="false" ht="15" hidden="false" customHeight="false" outlineLevel="0" collapsed="false">
      <c r="A12" s="13" t="s">
        <v>1082</v>
      </c>
      <c r="B12" s="14" t="s">
        <v>1083</v>
      </c>
      <c r="C12" s="13" t="s">
        <v>74</v>
      </c>
      <c r="D12" s="13" t="s">
        <v>75</v>
      </c>
      <c r="E12" s="15" t="s">
        <v>1084</v>
      </c>
      <c r="F12" s="13" t="s">
        <v>58</v>
      </c>
      <c r="G12" s="13" t="s">
        <v>59</v>
      </c>
      <c r="H12" s="14" t="s">
        <v>1085</v>
      </c>
      <c r="I12" s="4" t="s">
        <v>18</v>
      </c>
    </row>
    <row r="13" customFormat="false" ht="23.85" hidden="false" customHeight="false" outlineLevel="0" collapsed="false">
      <c r="A13" s="13" t="s">
        <v>852</v>
      </c>
      <c r="B13" s="14" t="s">
        <v>853</v>
      </c>
      <c r="C13" s="13" t="s">
        <v>63</v>
      </c>
      <c r="D13" s="13" t="s">
        <v>56</v>
      </c>
      <c r="E13" s="15" t="s">
        <v>854</v>
      </c>
      <c r="F13" s="13" t="s">
        <v>58</v>
      </c>
      <c r="G13" s="13" t="s">
        <v>59</v>
      </c>
      <c r="H13" s="14" t="s">
        <v>855</v>
      </c>
      <c r="I13" s="4" t="s">
        <v>16</v>
      </c>
    </row>
    <row r="14" customFormat="false" ht="15" hidden="false" customHeight="false" outlineLevel="0" collapsed="false">
      <c r="A14" s="13" t="s">
        <v>579</v>
      </c>
      <c r="B14" s="14" t="s">
        <v>580</v>
      </c>
      <c r="C14" s="13" t="s">
        <v>74</v>
      </c>
      <c r="D14" s="13" t="s">
        <v>75</v>
      </c>
      <c r="E14" s="15" t="s">
        <v>581</v>
      </c>
      <c r="F14" s="13" t="s">
        <v>58</v>
      </c>
      <c r="G14" s="13" t="s">
        <v>59</v>
      </c>
      <c r="H14" s="14" t="s">
        <v>582</v>
      </c>
      <c r="I14" s="4" t="s">
        <v>1310</v>
      </c>
    </row>
    <row r="15" customFormat="false" ht="15" hidden="false" customHeight="false" outlineLevel="0" collapsed="false">
      <c r="A15" s="13" t="s">
        <v>322</v>
      </c>
      <c r="B15" s="14" t="s">
        <v>323</v>
      </c>
      <c r="C15" s="13" t="s">
        <v>74</v>
      </c>
      <c r="D15" s="13" t="s">
        <v>75</v>
      </c>
      <c r="E15" s="15" t="s">
        <v>324</v>
      </c>
      <c r="F15" s="13" t="s">
        <v>58</v>
      </c>
      <c r="G15" s="13" t="s">
        <v>59</v>
      </c>
      <c r="H15" s="14" t="s">
        <v>325</v>
      </c>
      <c r="I15" s="4" t="s">
        <v>11</v>
      </c>
    </row>
    <row r="16" customFormat="false" ht="15" hidden="false" customHeight="false" outlineLevel="0" collapsed="false">
      <c r="A16" s="13" t="s">
        <v>641</v>
      </c>
      <c r="B16" s="14" t="s">
        <v>642</v>
      </c>
      <c r="C16" s="13" t="s">
        <v>74</v>
      </c>
      <c r="D16" s="13" t="s">
        <v>75</v>
      </c>
      <c r="E16" s="15" t="s">
        <v>643</v>
      </c>
      <c r="F16" s="13" t="s">
        <v>58</v>
      </c>
      <c r="G16" s="13" t="s">
        <v>59</v>
      </c>
      <c r="H16" s="14" t="s">
        <v>91</v>
      </c>
      <c r="I16" s="4" t="s">
        <v>14</v>
      </c>
    </row>
    <row r="17" customFormat="false" ht="15" hidden="false" customHeight="false" outlineLevel="0" collapsed="false">
      <c r="A17" s="13" t="s">
        <v>1232</v>
      </c>
      <c r="B17" s="14" t="s">
        <v>1233</v>
      </c>
      <c r="C17" s="13" t="s">
        <v>74</v>
      </c>
      <c r="D17" s="13" t="s">
        <v>75</v>
      </c>
      <c r="E17" s="15" t="s">
        <v>1234</v>
      </c>
      <c r="F17" s="13" t="s">
        <v>58</v>
      </c>
      <c r="G17" s="13" t="s">
        <v>59</v>
      </c>
      <c r="H17" s="14" t="s">
        <v>1235</v>
      </c>
      <c r="I17" s="4" t="s">
        <v>19</v>
      </c>
    </row>
    <row r="18" customFormat="false" ht="23.85" hidden="false" customHeight="false" outlineLevel="0" collapsed="false">
      <c r="A18" s="13" t="s">
        <v>748</v>
      </c>
      <c r="B18" s="14" t="s">
        <v>749</v>
      </c>
      <c r="C18" s="13" t="s">
        <v>63</v>
      </c>
      <c r="D18" s="13" t="s">
        <v>56</v>
      </c>
      <c r="E18" s="15" t="s">
        <v>750</v>
      </c>
      <c r="F18" s="13" t="s">
        <v>58</v>
      </c>
      <c r="G18" s="13" t="s">
        <v>59</v>
      </c>
      <c r="H18" s="14" t="s">
        <v>751</v>
      </c>
      <c r="I18" s="4" t="s">
        <v>1311</v>
      </c>
    </row>
    <row r="19" customFormat="false" ht="15" hidden="false" customHeight="false" outlineLevel="0" collapsed="false">
      <c r="A19" s="13" t="s">
        <v>752</v>
      </c>
      <c r="B19" s="14" t="s">
        <v>753</v>
      </c>
      <c r="C19" s="13" t="s">
        <v>74</v>
      </c>
      <c r="D19" s="13" t="s">
        <v>75</v>
      </c>
      <c r="E19" s="15" t="s">
        <v>754</v>
      </c>
      <c r="F19" s="13" t="s">
        <v>58</v>
      </c>
      <c r="G19" s="13" t="s">
        <v>59</v>
      </c>
      <c r="H19" s="14" t="s">
        <v>95</v>
      </c>
      <c r="I19" s="4" t="s">
        <v>1312</v>
      </c>
    </row>
    <row r="20" customFormat="false" ht="15" hidden="false" customHeight="false" outlineLevel="0" collapsed="false">
      <c r="A20" s="13" t="s">
        <v>1092</v>
      </c>
      <c r="B20" s="14" t="s">
        <v>1093</v>
      </c>
      <c r="C20" s="13" t="s">
        <v>74</v>
      </c>
      <c r="D20" s="13" t="s">
        <v>75</v>
      </c>
      <c r="E20" s="15" t="s">
        <v>1094</v>
      </c>
      <c r="F20" s="13" t="s">
        <v>58</v>
      </c>
      <c r="G20" s="13" t="s">
        <v>59</v>
      </c>
      <c r="H20" s="14" t="s">
        <v>1095</v>
      </c>
      <c r="I20" s="4" t="s">
        <v>18</v>
      </c>
    </row>
    <row r="21" customFormat="false" ht="23.85" hidden="false" customHeight="false" outlineLevel="0" collapsed="false">
      <c r="A21" s="13" t="s">
        <v>465</v>
      </c>
      <c r="B21" s="14" t="s">
        <v>466</v>
      </c>
      <c r="C21" s="13" t="s">
        <v>63</v>
      </c>
      <c r="D21" s="13" t="s">
        <v>56</v>
      </c>
      <c r="E21" s="15" t="s">
        <v>467</v>
      </c>
      <c r="F21" s="13" t="s">
        <v>58</v>
      </c>
      <c r="G21" s="13" t="s">
        <v>59</v>
      </c>
      <c r="H21" s="14" t="s">
        <v>468</v>
      </c>
      <c r="I21" s="4" t="s">
        <v>1313</v>
      </c>
    </row>
    <row r="22" customFormat="false" ht="15" hidden="false" customHeight="false" outlineLevel="0" collapsed="false">
      <c r="A22" s="13" t="s">
        <v>72</v>
      </c>
      <c r="B22" s="14" t="s">
        <v>73</v>
      </c>
      <c r="C22" s="13" t="s">
        <v>74</v>
      </c>
      <c r="D22" s="13" t="s">
        <v>75</v>
      </c>
      <c r="E22" s="15" t="s">
        <v>76</v>
      </c>
      <c r="F22" s="13" t="s">
        <v>58</v>
      </c>
      <c r="G22" s="13" t="s">
        <v>59</v>
      </c>
      <c r="H22" s="14" t="s">
        <v>77</v>
      </c>
      <c r="I22" s="4" t="s">
        <v>1314</v>
      </c>
    </row>
    <row r="23" customFormat="false" ht="15" hidden="false" customHeight="false" outlineLevel="0" collapsed="false">
      <c r="A23" s="13" t="s">
        <v>329</v>
      </c>
      <c r="B23" s="14" t="s">
        <v>330</v>
      </c>
      <c r="C23" s="13" t="s">
        <v>74</v>
      </c>
      <c r="D23" s="13" t="s">
        <v>75</v>
      </c>
      <c r="E23" s="15" t="s">
        <v>331</v>
      </c>
      <c r="F23" s="13" t="s">
        <v>58</v>
      </c>
      <c r="G23" s="13" t="s">
        <v>59</v>
      </c>
      <c r="H23" s="14" t="s">
        <v>141</v>
      </c>
      <c r="I23" s="4" t="s">
        <v>11</v>
      </c>
    </row>
    <row r="24" customFormat="false" ht="23.85" hidden="false" customHeight="false" outlineLevel="0" collapsed="false">
      <c r="A24" s="13" t="s">
        <v>332</v>
      </c>
      <c r="B24" s="14" t="s">
        <v>333</v>
      </c>
      <c r="C24" s="13" t="s">
        <v>63</v>
      </c>
      <c r="D24" s="13" t="s">
        <v>56</v>
      </c>
      <c r="E24" s="15" t="s">
        <v>334</v>
      </c>
      <c r="F24" s="13" t="s">
        <v>58</v>
      </c>
      <c r="G24" s="13" t="s">
        <v>59</v>
      </c>
      <c r="H24" s="14" t="s">
        <v>335</v>
      </c>
      <c r="I24" s="4" t="s">
        <v>11</v>
      </c>
    </row>
    <row r="25" customFormat="false" ht="15" hidden="false" customHeight="false" outlineLevel="0" collapsed="false">
      <c r="A25" s="13" t="s">
        <v>575</v>
      </c>
      <c r="B25" s="14" t="s">
        <v>576</v>
      </c>
      <c r="C25" s="13" t="s">
        <v>74</v>
      </c>
      <c r="D25" s="13" t="s">
        <v>75</v>
      </c>
      <c r="E25" s="15" t="s">
        <v>577</v>
      </c>
      <c r="F25" s="13" t="s">
        <v>58</v>
      </c>
      <c r="G25" s="13" t="s">
        <v>59</v>
      </c>
      <c r="H25" s="14" t="s">
        <v>578</v>
      </c>
      <c r="I25" s="4" t="s">
        <v>1315</v>
      </c>
    </row>
    <row r="26" customFormat="false" ht="23.85" hidden="false" customHeight="false" outlineLevel="0" collapsed="false">
      <c r="A26" s="13" t="s">
        <v>1086</v>
      </c>
      <c r="B26" s="14" t="s">
        <v>1087</v>
      </c>
      <c r="C26" s="13" t="s">
        <v>74</v>
      </c>
      <c r="D26" s="13" t="s">
        <v>75</v>
      </c>
      <c r="E26" s="15" t="s">
        <v>1088</v>
      </c>
      <c r="F26" s="13" t="s">
        <v>58</v>
      </c>
      <c r="G26" s="13" t="s">
        <v>59</v>
      </c>
      <c r="H26" s="14" t="s">
        <v>105</v>
      </c>
      <c r="I26" s="4" t="s">
        <v>18</v>
      </c>
    </row>
    <row r="27" customFormat="false" ht="15" hidden="false" customHeight="false" outlineLevel="0" collapsed="false">
      <c r="A27" s="13" t="s">
        <v>1089</v>
      </c>
      <c r="B27" s="14" t="s">
        <v>1090</v>
      </c>
      <c r="C27" s="13" t="s">
        <v>74</v>
      </c>
      <c r="D27" s="13" t="s">
        <v>75</v>
      </c>
      <c r="E27" s="15" t="s">
        <v>1091</v>
      </c>
      <c r="F27" s="13" t="s">
        <v>58</v>
      </c>
      <c r="G27" s="13" t="s">
        <v>59</v>
      </c>
      <c r="H27" s="14" t="s">
        <v>105</v>
      </c>
      <c r="I27" s="4" t="s">
        <v>18</v>
      </c>
    </row>
    <row r="28" customFormat="false" ht="15" hidden="false" customHeight="false" outlineLevel="0" collapsed="false">
      <c r="A28" s="13" t="s">
        <v>1236</v>
      </c>
      <c r="B28" s="14" t="s">
        <v>1237</v>
      </c>
      <c r="C28" s="13" t="s">
        <v>74</v>
      </c>
      <c r="D28" s="13" t="s">
        <v>75</v>
      </c>
      <c r="E28" s="15" t="s">
        <v>1238</v>
      </c>
      <c r="F28" s="13" t="s">
        <v>58</v>
      </c>
      <c r="G28" s="13" t="s">
        <v>59</v>
      </c>
      <c r="H28" s="14" t="s">
        <v>105</v>
      </c>
      <c r="I28" s="4" t="s">
        <v>19</v>
      </c>
    </row>
    <row r="29" customFormat="false" ht="15" hidden="false" customHeight="false" outlineLevel="0" collapsed="false">
      <c r="A29" s="13" t="s">
        <v>856</v>
      </c>
      <c r="B29" s="14" t="s">
        <v>857</v>
      </c>
      <c r="C29" s="13" t="s">
        <v>74</v>
      </c>
      <c r="D29" s="13" t="s">
        <v>75</v>
      </c>
      <c r="E29" s="15" t="s">
        <v>858</v>
      </c>
      <c r="F29" s="13" t="s">
        <v>58</v>
      </c>
      <c r="G29" s="13" t="s">
        <v>59</v>
      </c>
      <c r="H29" s="14" t="s">
        <v>95</v>
      </c>
      <c r="I29" s="4" t="s">
        <v>16</v>
      </c>
    </row>
    <row r="30" customFormat="false" ht="15" hidden="false" customHeight="false" outlineLevel="0" collapsed="false">
      <c r="A30" s="13" t="s">
        <v>318</v>
      </c>
      <c r="B30" s="14" t="s">
        <v>319</v>
      </c>
      <c r="C30" s="13" t="s">
        <v>74</v>
      </c>
      <c r="D30" s="13" t="s">
        <v>75</v>
      </c>
      <c r="E30" s="15" t="s">
        <v>320</v>
      </c>
      <c r="F30" s="13" t="s">
        <v>58</v>
      </c>
      <c r="G30" s="13" t="s">
        <v>59</v>
      </c>
      <c r="H30" s="14" t="s">
        <v>321</v>
      </c>
      <c r="I30" s="4" t="s">
        <v>1316</v>
      </c>
    </row>
    <row r="31" customFormat="false" ht="15" hidden="false" customHeight="false" outlineLevel="0" collapsed="false">
      <c r="A31" s="13" t="s">
        <v>859</v>
      </c>
      <c r="B31" s="14" t="s">
        <v>860</v>
      </c>
      <c r="C31" s="13" t="s">
        <v>74</v>
      </c>
      <c r="D31" s="13" t="s">
        <v>75</v>
      </c>
      <c r="E31" s="15" t="s">
        <v>861</v>
      </c>
      <c r="F31" s="13" t="s">
        <v>58</v>
      </c>
      <c r="G31" s="13" t="s">
        <v>59</v>
      </c>
      <c r="H31" s="14" t="s">
        <v>95</v>
      </c>
      <c r="I31" s="4" t="s">
        <v>16</v>
      </c>
    </row>
    <row r="32" customFormat="false" ht="15" hidden="false" customHeight="false" outlineLevel="0" collapsed="false">
      <c r="A32" s="13" t="s">
        <v>862</v>
      </c>
      <c r="B32" s="14" t="s">
        <v>863</v>
      </c>
      <c r="C32" s="13" t="s">
        <v>68</v>
      </c>
      <c r="D32" s="13" t="s">
        <v>69</v>
      </c>
      <c r="E32" s="15" t="s">
        <v>864</v>
      </c>
      <c r="F32" s="13" t="s">
        <v>58</v>
      </c>
      <c r="G32" s="13" t="s">
        <v>59</v>
      </c>
      <c r="H32" s="14" t="s">
        <v>865</v>
      </c>
      <c r="I32" s="4" t="s">
        <v>16</v>
      </c>
    </row>
    <row r="33" customFormat="false" ht="23.85" hidden="false" customHeight="false" outlineLevel="0" collapsed="false">
      <c r="A33" s="13" t="s">
        <v>648</v>
      </c>
      <c r="B33" s="14" t="s">
        <v>649</v>
      </c>
      <c r="C33" s="13" t="s">
        <v>68</v>
      </c>
      <c r="D33" s="13" t="s">
        <v>69</v>
      </c>
      <c r="E33" s="15" t="s">
        <v>650</v>
      </c>
      <c r="F33" s="13" t="s">
        <v>58</v>
      </c>
      <c r="G33" s="13" t="s">
        <v>59</v>
      </c>
      <c r="H33" s="14" t="s">
        <v>651</v>
      </c>
      <c r="I33" s="4" t="s">
        <v>14</v>
      </c>
    </row>
    <row r="34" customFormat="false" ht="15" hidden="false" customHeight="false" outlineLevel="0" collapsed="false">
      <c r="A34" s="13" t="s">
        <v>83</v>
      </c>
      <c r="B34" s="14" t="s">
        <v>84</v>
      </c>
      <c r="C34" s="13" t="s">
        <v>68</v>
      </c>
      <c r="D34" s="13" t="s">
        <v>69</v>
      </c>
      <c r="E34" s="15" t="s">
        <v>85</v>
      </c>
      <c r="F34" s="13" t="s">
        <v>58</v>
      </c>
      <c r="G34" s="13" t="s">
        <v>59</v>
      </c>
      <c r="H34" s="14" t="s">
        <v>86</v>
      </c>
      <c r="I34" s="4" t="s">
        <v>10</v>
      </c>
    </row>
    <row r="35" customFormat="false" ht="23.85" hidden="false" customHeight="false" outlineLevel="0" collapsed="false">
      <c r="A35" s="13" t="s">
        <v>66</v>
      </c>
      <c r="B35" s="14" t="s">
        <v>67</v>
      </c>
      <c r="C35" s="13" t="s">
        <v>68</v>
      </c>
      <c r="D35" s="13" t="s">
        <v>69</v>
      </c>
      <c r="E35" s="15" t="s">
        <v>70</v>
      </c>
      <c r="F35" s="13" t="s">
        <v>58</v>
      </c>
      <c r="G35" s="13" t="s">
        <v>59</v>
      </c>
      <c r="H35" s="14" t="s">
        <v>71</v>
      </c>
      <c r="I35" s="4" t="s">
        <v>1317</v>
      </c>
    </row>
    <row r="36" customFormat="false" ht="15" hidden="false" customHeight="false" outlineLevel="0" collapsed="false">
      <c r="A36" s="13" t="s">
        <v>977</v>
      </c>
      <c r="B36" s="14" t="s">
        <v>978</v>
      </c>
      <c r="C36" s="13" t="s">
        <v>68</v>
      </c>
      <c r="D36" s="13" t="s">
        <v>69</v>
      </c>
      <c r="E36" s="15" t="s">
        <v>979</v>
      </c>
      <c r="F36" s="13" t="s">
        <v>58</v>
      </c>
      <c r="G36" s="13" t="s">
        <v>59</v>
      </c>
      <c r="H36" s="14" t="s">
        <v>980</v>
      </c>
      <c r="I36" s="4" t="s">
        <v>17</v>
      </c>
    </row>
    <row r="37" customFormat="false" ht="23.85" hidden="false" customHeight="false" outlineLevel="0" collapsed="false">
      <c r="A37" s="13" t="s">
        <v>1078</v>
      </c>
      <c r="B37" s="14" t="s">
        <v>1079</v>
      </c>
      <c r="C37" s="13" t="s">
        <v>68</v>
      </c>
      <c r="D37" s="13" t="s">
        <v>471</v>
      </c>
      <c r="E37" s="15" t="s">
        <v>1080</v>
      </c>
      <c r="F37" s="13" t="s">
        <v>58</v>
      </c>
      <c r="G37" s="13" t="s">
        <v>59</v>
      </c>
      <c r="H37" s="14" t="s">
        <v>1081</v>
      </c>
      <c r="I37" s="4" t="s">
        <v>18</v>
      </c>
    </row>
    <row r="38" customFormat="false" ht="15" hidden="false" customHeight="false" outlineLevel="0" collapsed="false">
      <c r="A38" s="13" t="s">
        <v>755</v>
      </c>
      <c r="B38" s="14" t="s">
        <v>756</v>
      </c>
      <c r="C38" s="13" t="s">
        <v>68</v>
      </c>
      <c r="D38" s="13" t="s">
        <v>69</v>
      </c>
      <c r="E38" s="15" t="s">
        <v>757</v>
      </c>
      <c r="F38" s="13" t="s">
        <v>58</v>
      </c>
      <c r="G38" s="13" t="s">
        <v>59</v>
      </c>
      <c r="H38" s="14" t="s">
        <v>758</v>
      </c>
      <c r="I38" s="4" t="s">
        <v>15</v>
      </c>
    </row>
    <row r="39" customFormat="false" ht="15" hidden="false" customHeight="false" outlineLevel="0" collapsed="false">
      <c r="A39" s="13" t="s">
        <v>102</v>
      </c>
      <c r="B39" s="14" t="s">
        <v>103</v>
      </c>
      <c r="C39" s="13" t="s">
        <v>74</v>
      </c>
      <c r="D39" s="13" t="s">
        <v>75</v>
      </c>
      <c r="E39" s="15" t="s">
        <v>104</v>
      </c>
      <c r="F39" s="13" t="s">
        <v>58</v>
      </c>
      <c r="G39" s="13" t="s">
        <v>90</v>
      </c>
      <c r="H39" s="14" t="s">
        <v>105</v>
      </c>
      <c r="I39" s="4" t="s">
        <v>1317</v>
      </c>
    </row>
    <row r="40" customFormat="false" ht="15" hidden="false" customHeight="false" outlineLevel="0" collapsed="false">
      <c r="A40" s="13" t="s">
        <v>106</v>
      </c>
      <c r="B40" s="14" t="s">
        <v>107</v>
      </c>
      <c r="C40" s="13" t="s">
        <v>74</v>
      </c>
      <c r="D40" s="13" t="s">
        <v>75</v>
      </c>
      <c r="E40" s="15" t="s">
        <v>108</v>
      </c>
      <c r="F40" s="13" t="s">
        <v>58</v>
      </c>
      <c r="G40" s="13" t="s">
        <v>90</v>
      </c>
      <c r="H40" s="14" t="s">
        <v>105</v>
      </c>
      <c r="I40" s="4" t="s">
        <v>1318</v>
      </c>
    </row>
    <row r="41" customFormat="false" ht="15" hidden="false" customHeight="false" outlineLevel="0" collapsed="false">
      <c r="A41" s="13" t="s">
        <v>583</v>
      </c>
      <c r="B41" s="14" t="s">
        <v>584</v>
      </c>
      <c r="C41" s="13" t="s">
        <v>74</v>
      </c>
      <c r="D41" s="13" t="s">
        <v>75</v>
      </c>
      <c r="E41" s="15" t="s">
        <v>585</v>
      </c>
      <c r="F41" s="13" t="s">
        <v>58</v>
      </c>
      <c r="G41" s="13" t="s">
        <v>90</v>
      </c>
      <c r="H41" s="14" t="s">
        <v>95</v>
      </c>
      <c r="I41" s="4" t="s">
        <v>1315</v>
      </c>
    </row>
    <row r="42" customFormat="false" ht="15" hidden="false" customHeight="false" outlineLevel="0" collapsed="false">
      <c r="A42" s="13" t="s">
        <v>1099</v>
      </c>
      <c r="B42" s="14" t="s">
        <v>1100</v>
      </c>
      <c r="C42" s="13" t="s">
        <v>74</v>
      </c>
      <c r="D42" s="13" t="s">
        <v>75</v>
      </c>
      <c r="E42" s="15" t="s">
        <v>1101</v>
      </c>
      <c r="F42" s="13" t="s">
        <v>58</v>
      </c>
      <c r="G42" s="13" t="s">
        <v>90</v>
      </c>
      <c r="H42" s="14" t="s">
        <v>105</v>
      </c>
      <c r="I42" s="4" t="s">
        <v>18</v>
      </c>
    </row>
    <row r="43" customFormat="false" ht="15" hidden="false" customHeight="false" outlineLevel="0" collapsed="false">
      <c r="A43" s="13" t="s">
        <v>109</v>
      </c>
      <c r="B43" s="14" t="s">
        <v>110</v>
      </c>
      <c r="C43" s="13" t="s">
        <v>68</v>
      </c>
      <c r="D43" s="13" t="s">
        <v>69</v>
      </c>
      <c r="E43" s="15" t="s">
        <v>111</v>
      </c>
      <c r="F43" s="13" t="s">
        <v>58</v>
      </c>
      <c r="G43" s="13" t="s">
        <v>90</v>
      </c>
      <c r="H43" s="14" t="s">
        <v>105</v>
      </c>
      <c r="I43" s="4" t="s">
        <v>1317</v>
      </c>
    </row>
    <row r="44" customFormat="false" ht="15" hidden="false" customHeight="false" outlineLevel="0" collapsed="false">
      <c r="A44" s="13" t="s">
        <v>981</v>
      </c>
      <c r="B44" s="14" t="s">
        <v>982</v>
      </c>
      <c r="C44" s="13" t="s">
        <v>68</v>
      </c>
      <c r="D44" s="13" t="s">
        <v>69</v>
      </c>
      <c r="E44" s="15" t="s">
        <v>983</v>
      </c>
      <c r="F44" s="13" t="s">
        <v>58</v>
      </c>
      <c r="G44" s="13" t="s">
        <v>90</v>
      </c>
      <c r="H44" s="14" t="s">
        <v>105</v>
      </c>
      <c r="I44" s="4" t="s">
        <v>17</v>
      </c>
    </row>
    <row r="45" customFormat="false" ht="15" hidden="false" customHeight="false" outlineLevel="0" collapsed="false">
      <c r="A45" s="13" t="s">
        <v>92</v>
      </c>
      <c r="B45" s="14" t="s">
        <v>93</v>
      </c>
      <c r="C45" s="13" t="s">
        <v>68</v>
      </c>
      <c r="D45" s="13" t="s">
        <v>69</v>
      </c>
      <c r="E45" s="15" t="s">
        <v>94</v>
      </c>
      <c r="F45" s="13" t="s">
        <v>58</v>
      </c>
      <c r="G45" s="13" t="s">
        <v>90</v>
      </c>
      <c r="H45" s="14" t="s">
        <v>95</v>
      </c>
      <c r="I45" s="4" t="s">
        <v>1317</v>
      </c>
    </row>
    <row r="46" customFormat="false" ht="15" hidden="false" customHeight="false" outlineLevel="0" collapsed="false">
      <c r="A46" s="13" t="s">
        <v>112</v>
      </c>
      <c r="B46" s="14" t="s">
        <v>113</v>
      </c>
      <c r="C46" s="13" t="s">
        <v>68</v>
      </c>
      <c r="D46" s="13" t="s">
        <v>69</v>
      </c>
      <c r="E46" s="15" t="s">
        <v>114</v>
      </c>
      <c r="F46" s="13" t="s">
        <v>58</v>
      </c>
      <c r="G46" s="13" t="s">
        <v>90</v>
      </c>
      <c r="H46" s="14" t="s">
        <v>105</v>
      </c>
      <c r="I46" s="4" t="s">
        <v>10</v>
      </c>
    </row>
    <row r="47" customFormat="false" ht="15" hidden="false" customHeight="false" outlineLevel="0" collapsed="false">
      <c r="A47" s="13" t="s">
        <v>866</v>
      </c>
      <c r="B47" s="14" t="s">
        <v>867</v>
      </c>
      <c r="C47" s="13" t="s">
        <v>68</v>
      </c>
      <c r="D47" s="13" t="s">
        <v>69</v>
      </c>
      <c r="E47" s="15" t="s">
        <v>868</v>
      </c>
      <c r="F47" s="13" t="s">
        <v>58</v>
      </c>
      <c r="G47" s="13" t="s">
        <v>90</v>
      </c>
      <c r="H47" s="14" t="s">
        <v>105</v>
      </c>
      <c r="I47" s="4" t="s">
        <v>16</v>
      </c>
    </row>
    <row r="48" customFormat="false" ht="15" hidden="false" customHeight="false" outlineLevel="0" collapsed="false">
      <c r="A48" s="13" t="s">
        <v>984</v>
      </c>
      <c r="B48" s="14" t="s">
        <v>985</v>
      </c>
      <c r="C48" s="13" t="s">
        <v>68</v>
      </c>
      <c r="D48" s="13" t="s">
        <v>69</v>
      </c>
      <c r="E48" s="15" t="s">
        <v>986</v>
      </c>
      <c r="F48" s="13" t="s">
        <v>58</v>
      </c>
      <c r="G48" s="13" t="s">
        <v>90</v>
      </c>
      <c r="H48" s="14" t="s">
        <v>105</v>
      </c>
      <c r="I48" s="4" t="s">
        <v>17</v>
      </c>
    </row>
    <row r="49" customFormat="false" ht="15" hidden="false" customHeight="false" outlineLevel="0" collapsed="false">
      <c r="A49" s="13" t="s">
        <v>115</v>
      </c>
      <c r="B49" s="14" t="s">
        <v>116</v>
      </c>
      <c r="C49" s="13" t="s">
        <v>68</v>
      </c>
      <c r="D49" s="13" t="s">
        <v>69</v>
      </c>
      <c r="E49" s="15" t="s">
        <v>117</v>
      </c>
      <c r="F49" s="13" t="s">
        <v>58</v>
      </c>
      <c r="G49" s="13" t="s">
        <v>90</v>
      </c>
      <c r="H49" s="14" t="s">
        <v>105</v>
      </c>
      <c r="I49" s="4" t="s">
        <v>10</v>
      </c>
    </row>
    <row r="50" customFormat="false" ht="15" hidden="false" customHeight="false" outlineLevel="0" collapsed="false">
      <c r="A50" s="13" t="s">
        <v>118</v>
      </c>
      <c r="B50" s="14" t="s">
        <v>119</v>
      </c>
      <c r="C50" s="13" t="s">
        <v>68</v>
      </c>
      <c r="D50" s="13" t="s">
        <v>69</v>
      </c>
      <c r="E50" s="15" t="s">
        <v>120</v>
      </c>
      <c r="F50" s="13" t="s">
        <v>58</v>
      </c>
      <c r="G50" s="13" t="s">
        <v>90</v>
      </c>
      <c r="H50" s="14" t="s">
        <v>105</v>
      </c>
      <c r="I50" s="4" t="s">
        <v>1319</v>
      </c>
    </row>
    <row r="51" customFormat="false" ht="15" hidden="false" customHeight="false" outlineLevel="0" collapsed="false">
      <c r="A51" s="13" t="s">
        <v>121</v>
      </c>
      <c r="B51" s="14" t="s">
        <v>122</v>
      </c>
      <c r="C51" s="13" t="s">
        <v>68</v>
      </c>
      <c r="D51" s="13" t="s">
        <v>69</v>
      </c>
      <c r="E51" s="15" t="s">
        <v>123</v>
      </c>
      <c r="F51" s="13" t="s">
        <v>58</v>
      </c>
      <c r="G51" s="13" t="s">
        <v>90</v>
      </c>
      <c r="H51" s="14" t="s">
        <v>105</v>
      </c>
      <c r="I51" s="4" t="s">
        <v>1317</v>
      </c>
    </row>
    <row r="52" customFormat="false" ht="15" hidden="false" customHeight="false" outlineLevel="0" collapsed="false">
      <c r="A52" s="13" t="s">
        <v>336</v>
      </c>
      <c r="B52" s="14" t="s">
        <v>337</v>
      </c>
      <c r="C52" s="13" t="s">
        <v>68</v>
      </c>
      <c r="D52" s="13" t="s">
        <v>69</v>
      </c>
      <c r="E52" s="15" t="s">
        <v>338</v>
      </c>
      <c r="F52" s="13" t="s">
        <v>58</v>
      </c>
      <c r="G52" s="13" t="s">
        <v>90</v>
      </c>
      <c r="H52" s="14" t="s">
        <v>91</v>
      </c>
      <c r="I52" s="4" t="s">
        <v>11</v>
      </c>
    </row>
    <row r="53" customFormat="false" ht="15" hidden="false" customHeight="false" outlineLevel="0" collapsed="false">
      <c r="A53" s="13" t="s">
        <v>339</v>
      </c>
      <c r="B53" s="14" t="s">
        <v>340</v>
      </c>
      <c r="C53" s="13" t="s">
        <v>68</v>
      </c>
      <c r="D53" s="13" t="s">
        <v>69</v>
      </c>
      <c r="E53" s="15" t="s">
        <v>341</v>
      </c>
      <c r="F53" s="13" t="s">
        <v>58</v>
      </c>
      <c r="G53" s="13" t="s">
        <v>90</v>
      </c>
      <c r="H53" s="14" t="s">
        <v>105</v>
      </c>
      <c r="I53" s="4" t="s">
        <v>1320</v>
      </c>
    </row>
    <row r="54" customFormat="false" ht="15" hidden="false" customHeight="false" outlineLevel="0" collapsed="false">
      <c r="A54" s="13" t="s">
        <v>96</v>
      </c>
      <c r="B54" s="14" t="s">
        <v>97</v>
      </c>
      <c r="C54" s="13" t="s">
        <v>68</v>
      </c>
      <c r="D54" s="13" t="s">
        <v>69</v>
      </c>
      <c r="E54" s="15" t="s">
        <v>98</v>
      </c>
      <c r="F54" s="13" t="s">
        <v>58</v>
      </c>
      <c r="G54" s="13" t="s">
        <v>90</v>
      </c>
      <c r="H54" s="14" t="s">
        <v>95</v>
      </c>
      <c r="I54" s="4" t="s">
        <v>1319</v>
      </c>
    </row>
    <row r="55" customFormat="false" ht="15" hidden="false" customHeight="false" outlineLevel="0" collapsed="false">
      <c r="A55" s="13" t="s">
        <v>124</v>
      </c>
      <c r="B55" s="14" t="s">
        <v>125</v>
      </c>
      <c r="C55" s="13" t="s">
        <v>68</v>
      </c>
      <c r="D55" s="13" t="s">
        <v>69</v>
      </c>
      <c r="E55" s="15" t="s">
        <v>126</v>
      </c>
      <c r="F55" s="13" t="s">
        <v>58</v>
      </c>
      <c r="G55" s="13" t="s">
        <v>90</v>
      </c>
      <c r="H55" s="14" t="s">
        <v>105</v>
      </c>
      <c r="I55" s="4" t="s">
        <v>1317</v>
      </c>
    </row>
    <row r="56" customFormat="false" ht="15" hidden="false" customHeight="false" outlineLevel="0" collapsed="false">
      <c r="A56" s="13" t="s">
        <v>586</v>
      </c>
      <c r="B56" s="14" t="s">
        <v>587</v>
      </c>
      <c r="C56" s="13" t="s">
        <v>68</v>
      </c>
      <c r="D56" s="13" t="s">
        <v>69</v>
      </c>
      <c r="E56" s="15" t="s">
        <v>588</v>
      </c>
      <c r="F56" s="13" t="s">
        <v>58</v>
      </c>
      <c r="G56" s="13" t="s">
        <v>90</v>
      </c>
      <c r="H56" s="14" t="s">
        <v>105</v>
      </c>
      <c r="I56" s="4" t="s">
        <v>1321</v>
      </c>
    </row>
    <row r="57" customFormat="false" ht="15" hidden="false" customHeight="false" outlineLevel="0" collapsed="false">
      <c r="A57" s="13" t="s">
        <v>869</v>
      </c>
      <c r="B57" s="14" t="s">
        <v>870</v>
      </c>
      <c r="C57" s="13" t="s">
        <v>68</v>
      </c>
      <c r="D57" s="13" t="s">
        <v>69</v>
      </c>
      <c r="E57" s="15" t="s">
        <v>871</v>
      </c>
      <c r="F57" s="13" t="s">
        <v>58</v>
      </c>
      <c r="G57" s="13" t="s">
        <v>90</v>
      </c>
      <c r="H57" s="14" t="s">
        <v>105</v>
      </c>
      <c r="I57" s="4" t="s">
        <v>16</v>
      </c>
    </row>
    <row r="58" customFormat="false" ht="15" hidden="false" customHeight="false" outlineLevel="0" collapsed="false">
      <c r="A58" s="13" t="s">
        <v>987</v>
      </c>
      <c r="B58" s="14" t="s">
        <v>988</v>
      </c>
      <c r="C58" s="13" t="s">
        <v>68</v>
      </c>
      <c r="D58" s="13" t="s">
        <v>69</v>
      </c>
      <c r="E58" s="15" t="s">
        <v>989</v>
      </c>
      <c r="F58" s="13" t="s">
        <v>58</v>
      </c>
      <c r="G58" s="13" t="s">
        <v>90</v>
      </c>
      <c r="H58" s="14" t="s">
        <v>105</v>
      </c>
      <c r="I58" s="4" t="s">
        <v>17</v>
      </c>
    </row>
    <row r="59" customFormat="false" ht="15" hidden="false" customHeight="false" outlineLevel="0" collapsed="false">
      <c r="A59" s="13" t="s">
        <v>127</v>
      </c>
      <c r="B59" s="14" t="s">
        <v>128</v>
      </c>
      <c r="C59" s="13" t="s">
        <v>68</v>
      </c>
      <c r="D59" s="13" t="s">
        <v>69</v>
      </c>
      <c r="E59" s="15" t="s">
        <v>129</v>
      </c>
      <c r="F59" s="13" t="s">
        <v>58</v>
      </c>
      <c r="G59" s="13" t="s">
        <v>90</v>
      </c>
      <c r="H59" s="14" t="s">
        <v>105</v>
      </c>
      <c r="I59" s="4" t="s">
        <v>10</v>
      </c>
    </row>
    <row r="60" customFormat="false" ht="15" hidden="false" customHeight="false" outlineLevel="0" collapsed="false">
      <c r="A60" s="13" t="s">
        <v>130</v>
      </c>
      <c r="B60" s="14" t="s">
        <v>131</v>
      </c>
      <c r="C60" s="13" t="s">
        <v>68</v>
      </c>
      <c r="D60" s="13" t="s">
        <v>69</v>
      </c>
      <c r="E60" s="15" t="s">
        <v>132</v>
      </c>
      <c r="F60" s="13" t="s">
        <v>58</v>
      </c>
      <c r="G60" s="13" t="s">
        <v>90</v>
      </c>
      <c r="H60" s="14" t="s">
        <v>105</v>
      </c>
      <c r="I60" s="4" t="s">
        <v>1319</v>
      </c>
    </row>
    <row r="61" customFormat="false" ht="23.85" hidden="false" customHeight="false" outlineLevel="0" collapsed="false">
      <c r="A61" s="13" t="s">
        <v>762</v>
      </c>
      <c r="B61" s="14" t="s">
        <v>763</v>
      </c>
      <c r="C61" s="13" t="s">
        <v>68</v>
      </c>
      <c r="D61" s="13" t="s">
        <v>69</v>
      </c>
      <c r="E61" s="15" t="s">
        <v>764</v>
      </c>
      <c r="F61" s="13" t="s">
        <v>58</v>
      </c>
      <c r="G61" s="13" t="s">
        <v>90</v>
      </c>
      <c r="H61" s="14" t="s">
        <v>105</v>
      </c>
      <c r="I61" s="4" t="s">
        <v>1311</v>
      </c>
    </row>
    <row r="62" customFormat="false" ht="23.85" hidden="false" customHeight="false" outlineLevel="0" collapsed="false">
      <c r="A62" s="13" t="s">
        <v>1102</v>
      </c>
      <c r="B62" s="14" t="s">
        <v>1103</v>
      </c>
      <c r="C62" s="13" t="s">
        <v>68</v>
      </c>
      <c r="D62" s="13" t="s">
        <v>471</v>
      </c>
      <c r="E62" s="15" t="s">
        <v>1104</v>
      </c>
      <c r="F62" s="13" t="s">
        <v>58</v>
      </c>
      <c r="G62" s="13" t="s">
        <v>90</v>
      </c>
      <c r="H62" s="14" t="s">
        <v>473</v>
      </c>
      <c r="I62" s="4" t="s">
        <v>18</v>
      </c>
    </row>
    <row r="63" customFormat="false" ht="23.85" hidden="false" customHeight="false" outlineLevel="0" collapsed="false">
      <c r="A63" s="13" t="s">
        <v>469</v>
      </c>
      <c r="B63" s="14" t="s">
        <v>470</v>
      </c>
      <c r="C63" s="13" t="s">
        <v>68</v>
      </c>
      <c r="D63" s="13" t="s">
        <v>471</v>
      </c>
      <c r="E63" s="15" t="s">
        <v>472</v>
      </c>
      <c r="F63" s="13" t="s">
        <v>58</v>
      </c>
      <c r="G63" s="13" t="s">
        <v>90</v>
      </c>
      <c r="H63" s="14" t="s">
        <v>473</v>
      </c>
      <c r="I63" s="4" t="s">
        <v>12</v>
      </c>
    </row>
    <row r="64" customFormat="false" ht="23.85" hidden="false" customHeight="false" outlineLevel="0" collapsed="false">
      <c r="A64" s="13" t="s">
        <v>474</v>
      </c>
      <c r="B64" s="14" t="s">
        <v>475</v>
      </c>
      <c r="C64" s="13" t="s">
        <v>68</v>
      </c>
      <c r="D64" s="13" t="s">
        <v>471</v>
      </c>
      <c r="E64" s="15" t="s">
        <v>476</v>
      </c>
      <c r="F64" s="13" t="s">
        <v>58</v>
      </c>
      <c r="G64" s="13" t="s">
        <v>90</v>
      </c>
      <c r="H64" s="14" t="s">
        <v>473</v>
      </c>
      <c r="I64" s="4" t="s">
        <v>12</v>
      </c>
    </row>
    <row r="65" customFormat="false" ht="15" hidden="false" customHeight="false" outlineLevel="0" collapsed="false">
      <c r="A65" s="13" t="s">
        <v>342</v>
      </c>
      <c r="B65" s="14" t="s">
        <v>343</v>
      </c>
      <c r="C65" s="13" t="s">
        <v>68</v>
      </c>
      <c r="D65" s="13" t="s">
        <v>69</v>
      </c>
      <c r="E65" s="15" t="s">
        <v>344</v>
      </c>
      <c r="F65" s="13" t="s">
        <v>58</v>
      </c>
      <c r="G65" s="13" t="s">
        <v>90</v>
      </c>
      <c r="H65" s="14" t="s">
        <v>141</v>
      </c>
      <c r="I65" s="4" t="s">
        <v>11</v>
      </c>
    </row>
    <row r="66" customFormat="false" ht="15" hidden="false" customHeight="false" outlineLevel="0" collapsed="false">
      <c r="A66" s="13" t="s">
        <v>1108</v>
      </c>
      <c r="B66" s="14" t="s">
        <v>1109</v>
      </c>
      <c r="C66" s="13" t="s">
        <v>68</v>
      </c>
      <c r="D66" s="13" t="s">
        <v>69</v>
      </c>
      <c r="E66" s="15" t="s">
        <v>1110</v>
      </c>
      <c r="F66" s="13" t="s">
        <v>58</v>
      </c>
      <c r="G66" s="13" t="s">
        <v>90</v>
      </c>
      <c r="H66" s="14" t="s">
        <v>141</v>
      </c>
      <c r="I66" s="4" t="s">
        <v>18</v>
      </c>
    </row>
    <row r="67" customFormat="false" ht="15" hidden="false" customHeight="false" outlineLevel="0" collapsed="false">
      <c r="A67" s="13" t="s">
        <v>1105</v>
      </c>
      <c r="B67" s="14" t="s">
        <v>1106</v>
      </c>
      <c r="C67" s="13" t="s">
        <v>68</v>
      </c>
      <c r="D67" s="13" t="s">
        <v>69</v>
      </c>
      <c r="E67" s="15" t="s">
        <v>1107</v>
      </c>
      <c r="F67" s="13" t="s">
        <v>58</v>
      </c>
      <c r="G67" s="13" t="s">
        <v>90</v>
      </c>
      <c r="H67" s="14" t="s">
        <v>105</v>
      </c>
      <c r="I67" s="4" t="s">
        <v>18</v>
      </c>
    </row>
    <row r="68" customFormat="false" ht="15" hidden="false" customHeight="false" outlineLevel="0" collapsed="false">
      <c r="A68" s="13" t="s">
        <v>765</v>
      </c>
      <c r="B68" s="14" t="s">
        <v>766</v>
      </c>
      <c r="C68" s="13" t="s">
        <v>68</v>
      </c>
      <c r="D68" s="13" t="s">
        <v>69</v>
      </c>
      <c r="E68" s="15" t="s">
        <v>767</v>
      </c>
      <c r="F68" s="13" t="s">
        <v>58</v>
      </c>
      <c r="G68" s="13" t="s">
        <v>90</v>
      </c>
      <c r="H68" s="14" t="s">
        <v>141</v>
      </c>
      <c r="I68" s="4" t="s">
        <v>15</v>
      </c>
    </row>
    <row r="69" customFormat="false" ht="15" hidden="false" customHeight="false" outlineLevel="0" collapsed="false">
      <c r="A69" s="13" t="s">
        <v>1111</v>
      </c>
      <c r="B69" s="14" t="s">
        <v>1112</v>
      </c>
      <c r="C69" s="13" t="s">
        <v>68</v>
      </c>
      <c r="D69" s="13" t="s">
        <v>69</v>
      </c>
      <c r="E69" s="15" t="s">
        <v>1113</v>
      </c>
      <c r="F69" s="13" t="s">
        <v>58</v>
      </c>
      <c r="G69" s="13" t="s">
        <v>90</v>
      </c>
      <c r="H69" s="14" t="s">
        <v>141</v>
      </c>
      <c r="I69" s="4" t="s">
        <v>18</v>
      </c>
    </row>
    <row r="70" customFormat="false" ht="15" hidden="false" customHeight="false" outlineLevel="0" collapsed="false">
      <c r="A70" s="13" t="s">
        <v>768</v>
      </c>
      <c r="B70" s="14" t="s">
        <v>769</v>
      </c>
      <c r="C70" s="13" t="s">
        <v>68</v>
      </c>
      <c r="D70" s="13" t="s">
        <v>69</v>
      </c>
      <c r="E70" s="15" t="s">
        <v>770</v>
      </c>
      <c r="F70" s="13" t="s">
        <v>58</v>
      </c>
      <c r="G70" s="13" t="s">
        <v>90</v>
      </c>
      <c r="H70" s="14" t="s">
        <v>141</v>
      </c>
      <c r="I70" s="4" t="s">
        <v>15</v>
      </c>
    </row>
    <row r="71" customFormat="false" ht="23.85" hidden="false" customHeight="false" outlineLevel="0" collapsed="false">
      <c r="A71" s="13" t="s">
        <v>872</v>
      </c>
      <c r="B71" s="14" t="s">
        <v>873</v>
      </c>
      <c r="C71" s="13" t="s">
        <v>68</v>
      </c>
      <c r="D71" s="13" t="s">
        <v>69</v>
      </c>
      <c r="E71" s="15" t="s">
        <v>874</v>
      </c>
      <c r="F71" s="13" t="s">
        <v>58</v>
      </c>
      <c r="G71" s="13" t="s">
        <v>90</v>
      </c>
      <c r="H71" s="14" t="s">
        <v>105</v>
      </c>
      <c r="I71" s="4" t="s">
        <v>16</v>
      </c>
    </row>
    <row r="72" customFormat="false" ht="15" hidden="false" customHeight="false" outlineLevel="0" collapsed="false">
      <c r="A72" s="13" t="s">
        <v>345</v>
      </c>
      <c r="B72" s="14" t="s">
        <v>346</v>
      </c>
      <c r="C72" s="13" t="s">
        <v>68</v>
      </c>
      <c r="D72" s="13" t="s">
        <v>69</v>
      </c>
      <c r="E72" s="15" t="s">
        <v>347</v>
      </c>
      <c r="F72" s="13" t="s">
        <v>58</v>
      </c>
      <c r="G72" s="13" t="s">
        <v>90</v>
      </c>
      <c r="H72" s="14" t="s">
        <v>141</v>
      </c>
      <c r="I72" s="4" t="s">
        <v>11</v>
      </c>
    </row>
    <row r="73" customFormat="false" ht="15" hidden="false" customHeight="false" outlineLevel="0" collapsed="false">
      <c r="A73" s="13" t="s">
        <v>1114</v>
      </c>
      <c r="B73" s="14" t="s">
        <v>1115</v>
      </c>
      <c r="C73" s="13" t="s">
        <v>68</v>
      </c>
      <c r="D73" s="13" t="s">
        <v>69</v>
      </c>
      <c r="E73" s="15" t="s">
        <v>1116</v>
      </c>
      <c r="F73" s="13" t="s">
        <v>58</v>
      </c>
      <c r="G73" s="13" t="s">
        <v>90</v>
      </c>
      <c r="H73" s="14" t="s">
        <v>141</v>
      </c>
      <c r="I73" s="4" t="s">
        <v>18</v>
      </c>
    </row>
    <row r="74" customFormat="false" ht="15" hidden="false" customHeight="false" outlineLevel="0" collapsed="false">
      <c r="A74" s="13" t="s">
        <v>759</v>
      </c>
      <c r="B74" s="14" t="s">
        <v>760</v>
      </c>
      <c r="C74" s="13" t="s">
        <v>68</v>
      </c>
      <c r="D74" s="13" t="s">
        <v>69</v>
      </c>
      <c r="E74" s="15" t="s">
        <v>761</v>
      </c>
      <c r="F74" s="13" t="s">
        <v>58</v>
      </c>
      <c r="G74" s="13" t="s">
        <v>90</v>
      </c>
      <c r="H74" s="14" t="s">
        <v>95</v>
      </c>
      <c r="I74" s="4" t="s">
        <v>15</v>
      </c>
    </row>
    <row r="75" customFormat="false" ht="15" hidden="false" customHeight="false" outlineLevel="0" collapsed="false">
      <c r="A75" s="13" t="s">
        <v>771</v>
      </c>
      <c r="B75" s="14" t="s">
        <v>772</v>
      </c>
      <c r="C75" s="13" t="s">
        <v>68</v>
      </c>
      <c r="D75" s="13" t="s">
        <v>69</v>
      </c>
      <c r="E75" s="15" t="s">
        <v>773</v>
      </c>
      <c r="F75" s="13" t="s">
        <v>58</v>
      </c>
      <c r="G75" s="13" t="s">
        <v>90</v>
      </c>
      <c r="H75" s="14" t="s">
        <v>141</v>
      </c>
      <c r="I75" s="4" t="s">
        <v>15</v>
      </c>
    </row>
    <row r="76" customFormat="false" ht="15" hidden="false" customHeight="false" outlineLevel="0" collapsed="false">
      <c r="A76" s="13" t="s">
        <v>1117</v>
      </c>
      <c r="B76" s="14" t="s">
        <v>1118</v>
      </c>
      <c r="C76" s="13" t="s">
        <v>68</v>
      </c>
      <c r="D76" s="13" t="s">
        <v>69</v>
      </c>
      <c r="E76" s="15" t="s">
        <v>1119</v>
      </c>
      <c r="F76" s="13" t="s">
        <v>58</v>
      </c>
      <c r="G76" s="13" t="s">
        <v>90</v>
      </c>
      <c r="H76" s="14" t="s">
        <v>141</v>
      </c>
      <c r="I76" s="4" t="s">
        <v>18</v>
      </c>
    </row>
    <row r="77" customFormat="false" ht="15" hidden="false" customHeight="false" outlineLevel="0" collapsed="false">
      <c r="A77" s="13" t="s">
        <v>774</v>
      </c>
      <c r="B77" s="14" t="s">
        <v>775</v>
      </c>
      <c r="C77" s="13" t="s">
        <v>68</v>
      </c>
      <c r="D77" s="13" t="s">
        <v>69</v>
      </c>
      <c r="E77" s="15" t="s">
        <v>776</v>
      </c>
      <c r="F77" s="13" t="s">
        <v>58</v>
      </c>
      <c r="G77" s="13" t="s">
        <v>90</v>
      </c>
      <c r="H77" s="14" t="s">
        <v>141</v>
      </c>
      <c r="I77" s="4" t="s">
        <v>15</v>
      </c>
    </row>
    <row r="78" customFormat="false" ht="15" hidden="false" customHeight="false" outlineLevel="0" collapsed="false">
      <c r="A78" s="13" t="s">
        <v>477</v>
      </c>
      <c r="B78" s="14" t="s">
        <v>478</v>
      </c>
      <c r="C78" s="13" t="s">
        <v>68</v>
      </c>
      <c r="D78" s="13" t="s">
        <v>69</v>
      </c>
      <c r="E78" s="15" t="s">
        <v>479</v>
      </c>
      <c r="F78" s="13" t="s">
        <v>58</v>
      </c>
      <c r="G78" s="13" t="s">
        <v>90</v>
      </c>
      <c r="H78" s="14" t="s">
        <v>141</v>
      </c>
      <c r="I78" s="4" t="s">
        <v>12</v>
      </c>
    </row>
    <row r="79" customFormat="false" ht="15" hidden="false" customHeight="false" outlineLevel="0" collapsed="false">
      <c r="A79" s="13" t="s">
        <v>777</v>
      </c>
      <c r="B79" s="14" t="s">
        <v>778</v>
      </c>
      <c r="C79" s="13" t="s">
        <v>68</v>
      </c>
      <c r="D79" s="13" t="s">
        <v>69</v>
      </c>
      <c r="E79" s="15" t="s">
        <v>779</v>
      </c>
      <c r="F79" s="13" t="s">
        <v>58</v>
      </c>
      <c r="G79" s="13" t="s">
        <v>90</v>
      </c>
      <c r="H79" s="14" t="s">
        <v>141</v>
      </c>
      <c r="I79" s="4" t="s">
        <v>15</v>
      </c>
    </row>
    <row r="80" customFormat="false" ht="15" hidden="false" customHeight="false" outlineLevel="0" collapsed="false">
      <c r="A80" s="13" t="s">
        <v>348</v>
      </c>
      <c r="B80" s="14" t="s">
        <v>349</v>
      </c>
      <c r="C80" s="13" t="s">
        <v>68</v>
      </c>
      <c r="D80" s="13" t="s">
        <v>69</v>
      </c>
      <c r="E80" s="15" t="s">
        <v>350</v>
      </c>
      <c r="F80" s="13" t="s">
        <v>58</v>
      </c>
      <c r="G80" s="13" t="s">
        <v>90</v>
      </c>
      <c r="H80" s="14" t="s">
        <v>141</v>
      </c>
      <c r="I80" s="4" t="s">
        <v>11</v>
      </c>
    </row>
    <row r="81" customFormat="false" ht="15" hidden="false" customHeight="false" outlineLevel="0" collapsed="false">
      <c r="A81" s="13" t="s">
        <v>780</v>
      </c>
      <c r="B81" s="14" t="s">
        <v>781</v>
      </c>
      <c r="C81" s="13" t="s">
        <v>68</v>
      </c>
      <c r="D81" s="13" t="s">
        <v>69</v>
      </c>
      <c r="E81" s="15" t="s">
        <v>782</v>
      </c>
      <c r="F81" s="13" t="s">
        <v>58</v>
      </c>
      <c r="G81" s="13" t="s">
        <v>90</v>
      </c>
      <c r="H81" s="14" t="s">
        <v>141</v>
      </c>
      <c r="I81" s="4" t="s">
        <v>15</v>
      </c>
    </row>
    <row r="82" customFormat="false" ht="15" hidden="false" customHeight="false" outlineLevel="0" collapsed="false">
      <c r="A82" s="13" t="s">
        <v>351</v>
      </c>
      <c r="B82" s="14" t="s">
        <v>352</v>
      </c>
      <c r="C82" s="13" t="s">
        <v>68</v>
      </c>
      <c r="D82" s="13" t="s">
        <v>69</v>
      </c>
      <c r="E82" s="15" t="s">
        <v>353</v>
      </c>
      <c r="F82" s="13" t="s">
        <v>58</v>
      </c>
      <c r="G82" s="13" t="s">
        <v>90</v>
      </c>
      <c r="H82" s="14" t="s">
        <v>141</v>
      </c>
      <c r="I82" s="4" t="s">
        <v>11</v>
      </c>
    </row>
    <row r="83" customFormat="false" ht="15" hidden="false" customHeight="false" outlineLevel="0" collapsed="false">
      <c r="A83" s="13" t="s">
        <v>1096</v>
      </c>
      <c r="B83" s="14" t="s">
        <v>1097</v>
      </c>
      <c r="C83" s="13" t="s">
        <v>68</v>
      </c>
      <c r="D83" s="13" t="s">
        <v>69</v>
      </c>
      <c r="E83" s="15" t="s">
        <v>1098</v>
      </c>
      <c r="F83" s="13" t="s">
        <v>58</v>
      </c>
      <c r="G83" s="13" t="s">
        <v>90</v>
      </c>
      <c r="H83" s="14" t="s">
        <v>95</v>
      </c>
      <c r="I83" s="4" t="s">
        <v>18</v>
      </c>
    </row>
    <row r="84" customFormat="false" ht="15" hidden="false" customHeight="false" outlineLevel="0" collapsed="false">
      <c r="A84" s="13" t="s">
        <v>87</v>
      </c>
      <c r="B84" s="14" t="s">
        <v>88</v>
      </c>
      <c r="C84" s="13" t="s">
        <v>68</v>
      </c>
      <c r="D84" s="13" t="s">
        <v>69</v>
      </c>
      <c r="E84" s="15" t="s">
        <v>89</v>
      </c>
      <c r="F84" s="13" t="s">
        <v>58</v>
      </c>
      <c r="G84" s="13" t="s">
        <v>90</v>
      </c>
      <c r="H84" s="14" t="s">
        <v>91</v>
      </c>
      <c r="I84" s="4" t="s">
        <v>10</v>
      </c>
    </row>
    <row r="85" customFormat="false" ht="15" hidden="false" customHeight="false" outlineLevel="0" collapsed="false">
      <c r="A85" s="13" t="s">
        <v>133</v>
      </c>
      <c r="B85" s="14" t="s">
        <v>134</v>
      </c>
      <c r="C85" s="13" t="s">
        <v>68</v>
      </c>
      <c r="D85" s="13" t="s">
        <v>69</v>
      </c>
      <c r="E85" s="15" t="s">
        <v>135</v>
      </c>
      <c r="F85" s="13" t="s">
        <v>58</v>
      </c>
      <c r="G85" s="13" t="s">
        <v>90</v>
      </c>
      <c r="H85" s="14" t="s">
        <v>105</v>
      </c>
      <c r="I85" s="4" t="s">
        <v>1318</v>
      </c>
    </row>
    <row r="86" customFormat="false" ht="23.85" hidden="false" customHeight="false" outlineLevel="0" collapsed="false">
      <c r="A86" s="13" t="s">
        <v>99</v>
      </c>
      <c r="B86" s="14" t="s">
        <v>100</v>
      </c>
      <c r="C86" s="13" t="s">
        <v>68</v>
      </c>
      <c r="D86" s="13" t="s">
        <v>69</v>
      </c>
      <c r="E86" s="15" t="s">
        <v>101</v>
      </c>
      <c r="F86" s="13" t="s">
        <v>58</v>
      </c>
      <c r="G86" s="13" t="s">
        <v>90</v>
      </c>
      <c r="H86" s="14" t="s">
        <v>95</v>
      </c>
      <c r="I86" s="4" t="s">
        <v>1322</v>
      </c>
    </row>
    <row r="87" customFormat="false" ht="15" hidden="false" customHeight="false" outlineLevel="0" collapsed="false">
      <c r="A87" s="13" t="s">
        <v>136</v>
      </c>
      <c r="B87" s="14" t="s">
        <v>137</v>
      </c>
      <c r="C87" s="13" t="s">
        <v>138</v>
      </c>
      <c r="D87" s="13" t="s">
        <v>75</v>
      </c>
      <c r="E87" s="15" t="s">
        <v>139</v>
      </c>
      <c r="F87" s="13" t="s">
        <v>58</v>
      </c>
      <c r="G87" s="13" t="s">
        <v>140</v>
      </c>
      <c r="H87" s="14" t="s">
        <v>141</v>
      </c>
      <c r="I87" s="4" t="s">
        <v>10</v>
      </c>
    </row>
    <row r="88" customFormat="false" ht="23.85" hidden="false" customHeight="false" outlineLevel="0" collapsed="false">
      <c r="A88" s="13" t="s">
        <v>589</v>
      </c>
      <c r="B88" s="14" t="s">
        <v>590</v>
      </c>
      <c r="C88" s="13" t="s">
        <v>80</v>
      </c>
      <c r="D88" s="13" t="s">
        <v>75</v>
      </c>
      <c r="E88" s="15" t="s">
        <v>591</v>
      </c>
      <c r="F88" s="13" t="s">
        <v>145</v>
      </c>
      <c r="G88" s="13" t="s">
        <v>140</v>
      </c>
      <c r="H88" s="14" t="s">
        <v>592</v>
      </c>
      <c r="I88" s="4" t="s">
        <v>13</v>
      </c>
    </row>
    <row r="89" customFormat="false" ht="15" hidden="false" customHeight="false" outlineLevel="0" collapsed="false">
      <c r="A89" s="13" t="s">
        <v>990</v>
      </c>
      <c r="B89" s="14" t="s">
        <v>991</v>
      </c>
      <c r="C89" s="13" t="s">
        <v>80</v>
      </c>
      <c r="D89" s="13" t="s">
        <v>75</v>
      </c>
      <c r="E89" s="15" t="s">
        <v>992</v>
      </c>
      <c r="F89" s="13" t="s">
        <v>58</v>
      </c>
      <c r="G89" s="13" t="s">
        <v>140</v>
      </c>
      <c r="H89" s="14" t="s">
        <v>141</v>
      </c>
      <c r="I89" s="4" t="s">
        <v>17</v>
      </c>
    </row>
    <row r="90" customFormat="false" ht="15" hidden="false" customHeight="false" outlineLevel="0" collapsed="false">
      <c r="A90" s="13" t="s">
        <v>993</v>
      </c>
      <c r="B90" s="14" t="s">
        <v>994</v>
      </c>
      <c r="C90" s="13" t="s">
        <v>80</v>
      </c>
      <c r="D90" s="13" t="s">
        <v>75</v>
      </c>
      <c r="E90" s="15" t="s">
        <v>995</v>
      </c>
      <c r="F90" s="13" t="s">
        <v>58</v>
      </c>
      <c r="G90" s="13" t="s">
        <v>140</v>
      </c>
      <c r="H90" s="14" t="s">
        <v>141</v>
      </c>
      <c r="I90" s="4" t="s">
        <v>17</v>
      </c>
    </row>
    <row r="91" customFormat="false" ht="15" hidden="false" customHeight="false" outlineLevel="0" collapsed="false">
      <c r="A91" s="13" t="s">
        <v>652</v>
      </c>
      <c r="B91" s="14" t="s">
        <v>653</v>
      </c>
      <c r="C91" s="13" t="s">
        <v>80</v>
      </c>
      <c r="D91" s="13" t="s">
        <v>75</v>
      </c>
      <c r="E91" s="15" t="s">
        <v>654</v>
      </c>
      <c r="F91" s="13" t="s">
        <v>58</v>
      </c>
      <c r="G91" s="13" t="s">
        <v>140</v>
      </c>
      <c r="H91" s="14" t="s">
        <v>141</v>
      </c>
      <c r="I91" s="4" t="s">
        <v>14</v>
      </c>
    </row>
    <row r="92" customFormat="false" ht="15" hidden="false" customHeight="false" outlineLevel="0" collapsed="false">
      <c r="A92" s="13" t="s">
        <v>1120</v>
      </c>
      <c r="B92" s="14" t="s">
        <v>1121</v>
      </c>
      <c r="C92" s="13" t="s">
        <v>80</v>
      </c>
      <c r="D92" s="13" t="s">
        <v>75</v>
      </c>
      <c r="E92" s="15" t="s">
        <v>1122</v>
      </c>
      <c r="F92" s="13" t="s">
        <v>58</v>
      </c>
      <c r="G92" s="13" t="s">
        <v>140</v>
      </c>
      <c r="H92" s="14" t="s">
        <v>141</v>
      </c>
      <c r="I92" s="4" t="s">
        <v>18</v>
      </c>
    </row>
    <row r="93" customFormat="false" ht="15" hidden="false" customHeight="false" outlineLevel="0" collapsed="false">
      <c r="A93" s="13" t="s">
        <v>655</v>
      </c>
      <c r="B93" s="14" t="s">
        <v>656</v>
      </c>
      <c r="C93" s="13" t="s">
        <v>80</v>
      </c>
      <c r="D93" s="13" t="s">
        <v>75</v>
      </c>
      <c r="E93" s="15" t="s">
        <v>657</v>
      </c>
      <c r="F93" s="13" t="s">
        <v>58</v>
      </c>
      <c r="G93" s="13" t="s">
        <v>140</v>
      </c>
      <c r="H93" s="14" t="s">
        <v>141</v>
      </c>
      <c r="I93" s="4" t="s">
        <v>14</v>
      </c>
    </row>
    <row r="94" customFormat="false" ht="15" hidden="false" customHeight="false" outlineLevel="0" collapsed="false">
      <c r="A94" s="13" t="s">
        <v>875</v>
      </c>
      <c r="B94" s="14" t="s">
        <v>876</v>
      </c>
      <c r="C94" s="13" t="s">
        <v>80</v>
      </c>
      <c r="D94" s="13" t="s">
        <v>75</v>
      </c>
      <c r="E94" s="15" t="s">
        <v>877</v>
      </c>
      <c r="F94" s="13" t="s">
        <v>58</v>
      </c>
      <c r="G94" s="13" t="s">
        <v>140</v>
      </c>
      <c r="H94" s="14" t="s">
        <v>141</v>
      </c>
      <c r="I94" s="4" t="s">
        <v>16</v>
      </c>
    </row>
    <row r="95" customFormat="false" ht="15" hidden="false" customHeight="false" outlineLevel="0" collapsed="false">
      <c r="A95" s="13" t="s">
        <v>658</v>
      </c>
      <c r="B95" s="14" t="s">
        <v>659</v>
      </c>
      <c r="C95" s="13" t="s">
        <v>80</v>
      </c>
      <c r="D95" s="13" t="s">
        <v>75</v>
      </c>
      <c r="E95" s="15" t="s">
        <v>660</v>
      </c>
      <c r="F95" s="13" t="s">
        <v>58</v>
      </c>
      <c r="G95" s="13" t="s">
        <v>140</v>
      </c>
      <c r="H95" s="14" t="s">
        <v>141</v>
      </c>
      <c r="I95" s="4" t="s">
        <v>14</v>
      </c>
    </row>
    <row r="96" customFormat="false" ht="15" hidden="false" customHeight="false" outlineLevel="0" collapsed="false">
      <c r="A96" s="13" t="s">
        <v>1239</v>
      </c>
      <c r="B96" s="14" t="s">
        <v>1240</v>
      </c>
      <c r="C96" s="13" t="s">
        <v>80</v>
      </c>
      <c r="D96" s="13" t="s">
        <v>75</v>
      </c>
      <c r="E96" s="15" t="s">
        <v>1241</v>
      </c>
      <c r="F96" s="13" t="s">
        <v>58</v>
      </c>
      <c r="G96" s="13" t="s">
        <v>140</v>
      </c>
      <c r="H96" s="14" t="s">
        <v>141</v>
      </c>
      <c r="I96" s="4" t="s">
        <v>19</v>
      </c>
    </row>
    <row r="97" customFormat="false" ht="15" hidden="false" customHeight="false" outlineLevel="0" collapsed="false">
      <c r="A97" s="13" t="s">
        <v>480</v>
      </c>
      <c r="B97" s="14" t="s">
        <v>481</v>
      </c>
      <c r="C97" s="13" t="s">
        <v>80</v>
      </c>
      <c r="D97" s="13" t="s">
        <v>75</v>
      </c>
      <c r="E97" s="15" t="s">
        <v>482</v>
      </c>
      <c r="F97" s="13" t="s">
        <v>58</v>
      </c>
      <c r="G97" s="13" t="s">
        <v>140</v>
      </c>
      <c r="H97" s="14" t="s">
        <v>141</v>
      </c>
      <c r="I97" s="4" t="s">
        <v>12</v>
      </c>
    </row>
    <row r="98" customFormat="false" ht="15" hidden="false" customHeight="false" outlineLevel="0" collapsed="false">
      <c r="A98" s="13" t="s">
        <v>1123</v>
      </c>
      <c r="B98" s="14" t="s">
        <v>1124</v>
      </c>
      <c r="C98" s="13" t="s">
        <v>80</v>
      </c>
      <c r="D98" s="13" t="s">
        <v>75</v>
      </c>
      <c r="E98" s="15" t="s">
        <v>1125</v>
      </c>
      <c r="F98" s="13" t="s">
        <v>58</v>
      </c>
      <c r="G98" s="13" t="s">
        <v>140</v>
      </c>
      <c r="H98" s="14" t="s">
        <v>141</v>
      </c>
      <c r="I98" s="4" t="s">
        <v>18</v>
      </c>
    </row>
    <row r="99" customFormat="false" ht="15" hidden="false" customHeight="false" outlineLevel="0" collapsed="false">
      <c r="A99" s="13" t="s">
        <v>783</v>
      </c>
      <c r="B99" s="14" t="s">
        <v>784</v>
      </c>
      <c r="C99" s="13" t="s">
        <v>80</v>
      </c>
      <c r="D99" s="13" t="s">
        <v>75</v>
      </c>
      <c r="E99" s="15" t="s">
        <v>785</v>
      </c>
      <c r="F99" s="13" t="s">
        <v>58</v>
      </c>
      <c r="G99" s="13" t="s">
        <v>140</v>
      </c>
      <c r="H99" s="14" t="s">
        <v>141</v>
      </c>
      <c r="I99" s="4" t="s">
        <v>15</v>
      </c>
    </row>
    <row r="100" customFormat="false" ht="23.85" hidden="false" customHeight="false" outlineLevel="0" collapsed="false">
      <c r="A100" s="13" t="s">
        <v>142</v>
      </c>
      <c r="B100" s="14" t="s">
        <v>143</v>
      </c>
      <c r="C100" s="13" t="s">
        <v>74</v>
      </c>
      <c r="D100" s="13" t="s">
        <v>75</v>
      </c>
      <c r="E100" s="15" t="s">
        <v>144</v>
      </c>
      <c r="F100" s="13" t="s">
        <v>145</v>
      </c>
      <c r="G100" s="13" t="s">
        <v>140</v>
      </c>
      <c r="H100" s="14" t="s">
        <v>146</v>
      </c>
      <c r="I100" s="4" t="s">
        <v>10</v>
      </c>
    </row>
    <row r="101" customFormat="false" ht="15" hidden="false" customHeight="false" outlineLevel="0" collapsed="false">
      <c r="A101" s="13" t="s">
        <v>354</v>
      </c>
      <c r="B101" s="14" t="s">
        <v>355</v>
      </c>
      <c r="C101" s="13" t="s">
        <v>74</v>
      </c>
      <c r="D101" s="13" t="s">
        <v>75</v>
      </c>
      <c r="E101" s="15" t="s">
        <v>356</v>
      </c>
      <c r="F101" s="13" t="s">
        <v>145</v>
      </c>
      <c r="G101" s="13" t="s">
        <v>140</v>
      </c>
      <c r="H101" s="14" t="s">
        <v>357</v>
      </c>
      <c r="I101" s="4" t="s">
        <v>11</v>
      </c>
    </row>
    <row r="102" customFormat="false" ht="15" hidden="false" customHeight="false" outlineLevel="0" collapsed="false">
      <c r="A102" s="13" t="s">
        <v>358</v>
      </c>
      <c r="B102" s="14" t="s">
        <v>359</v>
      </c>
      <c r="C102" s="13" t="s">
        <v>74</v>
      </c>
      <c r="D102" s="13" t="s">
        <v>75</v>
      </c>
      <c r="E102" s="15" t="s">
        <v>360</v>
      </c>
      <c r="F102" s="13" t="s">
        <v>58</v>
      </c>
      <c r="G102" s="13" t="s">
        <v>140</v>
      </c>
      <c r="H102" s="14" t="s">
        <v>141</v>
      </c>
      <c r="I102" s="4" t="s">
        <v>11</v>
      </c>
    </row>
    <row r="103" customFormat="false" ht="15" hidden="false" customHeight="false" outlineLevel="0" collapsed="false">
      <c r="A103" s="13" t="s">
        <v>1242</v>
      </c>
      <c r="B103" s="14" t="s">
        <v>1243</v>
      </c>
      <c r="C103" s="13" t="s">
        <v>74</v>
      </c>
      <c r="D103" s="13" t="s">
        <v>75</v>
      </c>
      <c r="E103" s="15" t="s">
        <v>1244</v>
      </c>
      <c r="F103" s="13" t="s">
        <v>145</v>
      </c>
      <c r="G103" s="13" t="s">
        <v>140</v>
      </c>
      <c r="H103" s="14" t="s">
        <v>1245</v>
      </c>
      <c r="I103" s="4" t="s">
        <v>19</v>
      </c>
    </row>
    <row r="104" customFormat="false" ht="15" hidden="false" customHeight="false" outlineLevel="0" collapsed="false">
      <c r="A104" s="13" t="s">
        <v>996</v>
      </c>
      <c r="B104" s="14" t="s">
        <v>997</v>
      </c>
      <c r="C104" s="13" t="s">
        <v>74</v>
      </c>
      <c r="D104" s="13" t="s">
        <v>75</v>
      </c>
      <c r="E104" s="15" t="s">
        <v>998</v>
      </c>
      <c r="F104" s="13" t="s">
        <v>58</v>
      </c>
      <c r="G104" s="13" t="s">
        <v>140</v>
      </c>
      <c r="H104" s="14" t="s">
        <v>141</v>
      </c>
      <c r="I104" s="4" t="s">
        <v>17</v>
      </c>
    </row>
    <row r="105" customFormat="false" ht="15" hidden="false" customHeight="false" outlineLevel="0" collapsed="false">
      <c r="A105" s="13" t="s">
        <v>999</v>
      </c>
      <c r="B105" s="14" t="s">
        <v>1000</v>
      </c>
      <c r="C105" s="13" t="s">
        <v>74</v>
      </c>
      <c r="D105" s="13" t="s">
        <v>75</v>
      </c>
      <c r="E105" s="15" t="s">
        <v>1001</v>
      </c>
      <c r="F105" s="13" t="s">
        <v>58</v>
      </c>
      <c r="G105" s="13" t="s">
        <v>140</v>
      </c>
      <c r="H105" s="14" t="s">
        <v>141</v>
      </c>
      <c r="I105" s="4" t="s">
        <v>17</v>
      </c>
    </row>
    <row r="106" customFormat="false" ht="15" hidden="false" customHeight="false" outlineLevel="0" collapsed="false">
      <c r="A106" s="13" t="s">
        <v>1246</v>
      </c>
      <c r="B106" s="14" t="s">
        <v>1247</v>
      </c>
      <c r="C106" s="13" t="s">
        <v>74</v>
      </c>
      <c r="D106" s="13" t="s">
        <v>75</v>
      </c>
      <c r="E106" s="15" t="s">
        <v>1248</v>
      </c>
      <c r="F106" s="13" t="s">
        <v>58</v>
      </c>
      <c r="G106" s="13" t="s">
        <v>140</v>
      </c>
      <c r="H106" s="14" t="s">
        <v>141</v>
      </c>
      <c r="I106" s="4" t="s">
        <v>19</v>
      </c>
    </row>
    <row r="107" customFormat="false" ht="15" hidden="false" customHeight="false" outlineLevel="0" collapsed="false">
      <c r="A107" s="13" t="s">
        <v>1002</v>
      </c>
      <c r="B107" s="14" t="s">
        <v>1003</v>
      </c>
      <c r="C107" s="13" t="s">
        <v>74</v>
      </c>
      <c r="D107" s="13" t="s">
        <v>75</v>
      </c>
      <c r="E107" s="15" t="s">
        <v>1004</v>
      </c>
      <c r="F107" s="13" t="s">
        <v>58</v>
      </c>
      <c r="G107" s="13" t="s">
        <v>140</v>
      </c>
      <c r="H107" s="14" t="s">
        <v>141</v>
      </c>
      <c r="I107" s="4" t="s">
        <v>17</v>
      </c>
    </row>
    <row r="108" customFormat="false" ht="15" hidden="false" customHeight="false" outlineLevel="0" collapsed="false">
      <c r="A108" s="13" t="s">
        <v>786</v>
      </c>
      <c r="B108" s="14" t="s">
        <v>787</v>
      </c>
      <c r="C108" s="13" t="s">
        <v>74</v>
      </c>
      <c r="D108" s="13" t="s">
        <v>75</v>
      </c>
      <c r="E108" s="15" t="s">
        <v>788</v>
      </c>
      <c r="F108" s="13" t="s">
        <v>58</v>
      </c>
      <c r="G108" s="13" t="s">
        <v>140</v>
      </c>
      <c r="H108" s="14" t="s">
        <v>141</v>
      </c>
      <c r="I108" s="4" t="s">
        <v>15</v>
      </c>
    </row>
    <row r="109" customFormat="false" ht="15" hidden="false" customHeight="false" outlineLevel="0" collapsed="false">
      <c r="A109" s="13" t="s">
        <v>1005</v>
      </c>
      <c r="B109" s="14" t="s">
        <v>1006</v>
      </c>
      <c r="C109" s="13" t="s">
        <v>74</v>
      </c>
      <c r="D109" s="13" t="s">
        <v>75</v>
      </c>
      <c r="E109" s="15" t="s">
        <v>1007</v>
      </c>
      <c r="F109" s="13" t="s">
        <v>58</v>
      </c>
      <c r="G109" s="13" t="s">
        <v>140</v>
      </c>
      <c r="H109" s="14" t="s">
        <v>141</v>
      </c>
      <c r="I109" s="4" t="s">
        <v>17</v>
      </c>
    </row>
    <row r="110" customFormat="false" ht="15" hidden="false" customHeight="false" outlineLevel="0" collapsed="false">
      <c r="A110" s="13" t="s">
        <v>661</v>
      </c>
      <c r="B110" s="14" t="s">
        <v>662</v>
      </c>
      <c r="C110" s="13" t="s">
        <v>74</v>
      </c>
      <c r="D110" s="13" t="s">
        <v>75</v>
      </c>
      <c r="E110" s="15" t="s">
        <v>663</v>
      </c>
      <c r="F110" s="13" t="s">
        <v>58</v>
      </c>
      <c r="G110" s="13" t="s">
        <v>140</v>
      </c>
      <c r="H110" s="14" t="s">
        <v>141</v>
      </c>
      <c r="I110" s="4" t="s">
        <v>14</v>
      </c>
    </row>
    <row r="111" customFormat="false" ht="23.85" hidden="false" customHeight="false" outlineLevel="0" collapsed="false">
      <c r="A111" s="13" t="s">
        <v>593</v>
      </c>
      <c r="B111" s="14" t="s">
        <v>594</v>
      </c>
      <c r="C111" s="13" t="s">
        <v>63</v>
      </c>
      <c r="D111" s="13" t="s">
        <v>56</v>
      </c>
      <c r="E111" s="15" t="s">
        <v>595</v>
      </c>
      <c r="F111" s="13" t="s">
        <v>58</v>
      </c>
      <c r="G111" s="13" t="s">
        <v>140</v>
      </c>
      <c r="H111" s="14" t="s">
        <v>141</v>
      </c>
      <c r="I111" s="4" t="s">
        <v>13</v>
      </c>
    </row>
    <row r="112" customFormat="false" ht="15" hidden="false" customHeight="false" outlineLevel="0" collapsed="false">
      <c r="A112" s="13" t="s">
        <v>1008</v>
      </c>
      <c r="B112" s="14" t="s">
        <v>1009</v>
      </c>
      <c r="C112" s="13" t="s">
        <v>74</v>
      </c>
      <c r="D112" s="13" t="s">
        <v>75</v>
      </c>
      <c r="E112" s="15" t="s">
        <v>1010</v>
      </c>
      <c r="F112" s="13" t="s">
        <v>58</v>
      </c>
      <c r="G112" s="13" t="s">
        <v>140</v>
      </c>
      <c r="H112" s="14" t="s">
        <v>141</v>
      </c>
      <c r="I112" s="4" t="s">
        <v>17</v>
      </c>
    </row>
    <row r="113" customFormat="false" ht="15" hidden="false" customHeight="false" outlineLevel="0" collapsed="false">
      <c r="A113" s="13" t="s">
        <v>147</v>
      </c>
      <c r="B113" s="14" t="s">
        <v>148</v>
      </c>
      <c r="C113" s="13" t="s">
        <v>74</v>
      </c>
      <c r="D113" s="13" t="s">
        <v>75</v>
      </c>
      <c r="E113" s="15" t="s">
        <v>149</v>
      </c>
      <c r="F113" s="13" t="s">
        <v>58</v>
      </c>
      <c r="G113" s="13" t="s">
        <v>140</v>
      </c>
      <c r="H113" s="14" t="s">
        <v>141</v>
      </c>
      <c r="I113" s="4" t="s">
        <v>10</v>
      </c>
    </row>
    <row r="114" customFormat="false" ht="15" hidden="false" customHeight="false" outlineLevel="0" collapsed="false">
      <c r="A114" s="13" t="s">
        <v>1126</v>
      </c>
      <c r="B114" s="14" t="s">
        <v>1127</v>
      </c>
      <c r="C114" s="13" t="s">
        <v>74</v>
      </c>
      <c r="D114" s="13" t="s">
        <v>75</v>
      </c>
      <c r="E114" s="15" t="s">
        <v>1128</v>
      </c>
      <c r="F114" s="13" t="s">
        <v>58</v>
      </c>
      <c r="G114" s="13" t="s">
        <v>140</v>
      </c>
      <c r="H114" s="14" t="s">
        <v>141</v>
      </c>
      <c r="I114" s="4" t="s">
        <v>18</v>
      </c>
    </row>
    <row r="115" customFormat="false" ht="15" hidden="false" customHeight="false" outlineLevel="0" collapsed="false">
      <c r="A115" s="13" t="s">
        <v>1249</v>
      </c>
      <c r="B115" s="14" t="s">
        <v>1250</v>
      </c>
      <c r="C115" s="13" t="s">
        <v>74</v>
      </c>
      <c r="D115" s="13" t="s">
        <v>75</v>
      </c>
      <c r="E115" s="15" t="s">
        <v>1251</v>
      </c>
      <c r="F115" s="13" t="s">
        <v>58</v>
      </c>
      <c r="G115" s="13" t="s">
        <v>140</v>
      </c>
      <c r="H115" s="14" t="s">
        <v>141</v>
      </c>
      <c r="I115" s="4" t="s">
        <v>19</v>
      </c>
    </row>
    <row r="116" customFormat="false" ht="15" hidden="false" customHeight="false" outlineLevel="0" collapsed="false">
      <c r="A116" s="13" t="s">
        <v>361</v>
      </c>
      <c r="B116" s="14" t="s">
        <v>362</v>
      </c>
      <c r="C116" s="13" t="s">
        <v>74</v>
      </c>
      <c r="D116" s="13" t="s">
        <v>75</v>
      </c>
      <c r="E116" s="15" t="s">
        <v>363</v>
      </c>
      <c r="F116" s="13" t="s">
        <v>58</v>
      </c>
      <c r="G116" s="13" t="s">
        <v>140</v>
      </c>
      <c r="H116" s="14" t="s">
        <v>141</v>
      </c>
      <c r="I116" s="4" t="s">
        <v>11</v>
      </c>
    </row>
    <row r="117" customFormat="false" ht="15" hidden="false" customHeight="false" outlineLevel="0" collapsed="false">
      <c r="A117" s="13" t="s">
        <v>789</v>
      </c>
      <c r="B117" s="14" t="s">
        <v>790</v>
      </c>
      <c r="C117" s="13" t="s">
        <v>74</v>
      </c>
      <c r="D117" s="13" t="s">
        <v>75</v>
      </c>
      <c r="E117" s="15" t="s">
        <v>791</v>
      </c>
      <c r="F117" s="13" t="s">
        <v>58</v>
      </c>
      <c r="G117" s="13" t="s">
        <v>140</v>
      </c>
      <c r="H117" s="14" t="s">
        <v>141</v>
      </c>
      <c r="I117" s="4" t="s">
        <v>15</v>
      </c>
    </row>
    <row r="118" customFormat="false" ht="23.85" hidden="false" customHeight="false" outlineLevel="0" collapsed="false">
      <c r="A118" s="13" t="s">
        <v>150</v>
      </c>
      <c r="B118" s="14" t="s">
        <v>151</v>
      </c>
      <c r="C118" s="13" t="s">
        <v>74</v>
      </c>
      <c r="D118" s="13" t="s">
        <v>75</v>
      </c>
      <c r="E118" s="15" t="s">
        <v>152</v>
      </c>
      <c r="F118" s="13" t="s">
        <v>145</v>
      </c>
      <c r="G118" s="13" t="s">
        <v>140</v>
      </c>
      <c r="H118" s="14" t="s">
        <v>153</v>
      </c>
      <c r="I118" s="4" t="s">
        <v>10</v>
      </c>
    </row>
    <row r="119" customFormat="false" ht="23.85" hidden="false" customHeight="false" outlineLevel="0" collapsed="false">
      <c r="A119" s="13" t="s">
        <v>1129</v>
      </c>
      <c r="B119" s="14" t="s">
        <v>1130</v>
      </c>
      <c r="C119" s="13" t="s">
        <v>74</v>
      </c>
      <c r="D119" s="13" t="s">
        <v>75</v>
      </c>
      <c r="E119" s="15" t="s">
        <v>1131</v>
      </c>
      <c r="F119" s="13" t="s">
        <v>145</v>
      </c>
      <c r="G119" s="13" t="s">
        <v>140</v>
      </c>
      <c r="H119" s="14" t="s">
        <v>1132</v>
      </c>
      <c r="I119" s="4" t="s">
        <v>18</v>
      </c>
    </row>
    <row r="120" customFormat="false" ht="15" hidden="false" customHeight="false" outlineLevel="0" collapsed="false">
      <c r="A120" s="13" t="s">
        <v>878</v>
      </c>
      <c r="B120" s="14" t="s">
        <v>879</v>
      </c>
      <c r="C120" s="13" t="s">
        <v>74</v>
      </c>
      <c r="D120" s="13" t="s">
        <v>75</v>
      </c>
      <c r="E120" s="15" t="s">
        <v>880</v>
      </c>
      <c r="F120" s="13" t="s">
        <v>58</v>
      </c>
      <c r="G120" s="13" t="s">
        <v>140</v>
      </c>
      <c r="H120" s="14" t="s">
        <v>141</v>
      </c>
      <c r="I120" s="4" t="s">
        <v>16</v>
      </c>
    </row>
    <row r="121" customFormat="false" ht="15" hidden="false" customHeight="false" outlineLevel="0" collapsed="false">
      <c r="A121" s="13" t="s">
        <v>664</v>
      </c>
      <c r="B121" s="14" t="s">
        <v>665</v>
      </c>
      <c r="C121" s="13" t="s">
        <v>74</v>
      </c>
      <c r="D121" s="13" t="s">
        <v>75</v>
      </c>
      <c r="E121" s="15" t="s">
        <v>666</v>
      </c>
      <c r="F121" s="13" t="s">
        <v>58</v>
      </c>
      <c r="G121" s="13" t="s">
        <v>140</v>
      </c>
      <c r="H121" s="14" t="s">
        <v>141</v>
      </c>
      <c r="I121" s="4" t="s">
        <v>14</v>
      </c>
    </row>
    <row r="122" customFormat="false" ht="15" hidden="false" customHeight="false" outlineLevel="0" collapsed="false">
      <c r="A122" s="13" t="s">
        <v>483</v>
      </c>
      <c r="B122" s="14" t="s">
        <v>484</v>
      </c>
      <c r="C122" s="13" t="s">
        <v>74</v>
      </c>
      <c r="D122" s="13" t="s">
        <v>75</v>
      </c>
      <c r="E122" s="15" t="s">
        <v>485</v>
      </c>
      <c r="F122" s="13" t="s">
        <v>58</v>
      </c>
      <c r="G122" s="13" t="s">
        <v>140</v>
      </c>
      <c r="H122" s="14" t="s">
        <v>141</v>
      </c>
      <c r="I122" s="4" t="s">
        <v>12</v>
      </c>
    </row>
    <row r="123" customFormat="false" ht="15" hidden="false" customHeight="false" outlineLevel="0" collapsed="false">
      <c r="A123" s="13" t="s">
        <v>1252</v>
      </c>
      <c r="B123" s="14" t="s">
        <v>1253</v>
      </c>
      <c r="C123" s="13" t="s">
        <v>74</v>
      </c>
      <c r="D123" s="13" t="s">
        <v>75</v>
      </c>
      <c r="E123" s="15" t="s">
        <v>1254</v>
      </c>
      <c r="F123" s="13" t="s">
        <v>58</v>
      </c>
      <c r="G123" s="13" t="s">
        <v>140</v>
      </c>
      <c r="H123" s="14" t="s">
        <v>141</v>
      </c>
      <c r="I123" s="4" t="s">
        <v>19</v>
      </c>
    </row>
    <row r="124" customFormat="false" ht="15" hidden="false" customHeight="false" outlineLevel="0" collapsed="false">
      <c r="A124" s="13" t="s">
        <v>596</v>
      </c>
      <c r="B124" s="14" t="s">
        <v>597</v>
      </c>
      <c r="C124" s="13" t="s">
        <v>74</v>
      </c>
      <c r="D124" s="13" t="s">
        <v>75</v>
      </c>
      <c r="E124" s="15" t="s">
        <v>598</v>
      </c>
      <c r="F124" s="13" t="s">
        <v>58</v>
      </c>
      <c r="G124" s="13" t="s">
        <v>140</v>
      </c>
      <c r="H124" s="14" t="s">
        <v>141</v>
      </c>
      <c r="I124" s="4" t="s">
        <v>13</v>
      </c>
    </row>
    <row r="125" customFormat="false" ht="15" hidden="false" customHeight="false" outlineLevel="0" collapsed="false">
      <c r="A125" s="13" t="s">
        <v>881</v>
      </c>
      <c r="B125" s="14" t="s">
        <v>882</v>
      </c>
      <c r="C125" s="13" t="s">
        <v>74</v>
      </c>
      <c r="D125" s="13" t="s">
        <v>75</v>
      </c>
      <c r="E125" s="15" t="s">
        <v>883</v>
      </c>
      <c r="F125" s="13" t="s">
        <v>58</v>
      </c>
      <c r="G125" s="13" t="s">
        <v>140</v>
      </c>
      <c r="H125" s="14" t="s">
        <v>141</v>
      </c>
      <c r="I125" s="4" t="s">
        <v>16</v>
      </c>
    </row>
    <row r="126" customFormat="false" ht="15" hidden="false" customHeight="false" outlineLevel="0" collapsed="false">
      <c r="A126" s="13" t="s">
        <v>884</v>
      </c>
      <c r="B126" s="14" t="s">
        <v>885</v>
      </c>
      <c r="C126" s="13" t="s">
        <v>74</v>
      </c>
      <c r="D126" s="13" t="s">
        <v>75</v>
      </c>
      <c r="E126" s="15" t="s">
        <v>886</v>
      </c>
      <c r="F126" s="13" t="s">
        <v>58</v>
      </c>
      <c r="G126" s="13" t="s">
        <v>140</v>
      </c>
      <c r="H126" s="14" t="s">
        <v>141</v>
      </c>
      <c r="I126" s="4" t="s">
        <v>16</v>
      </c>
    </row>
    <row r="127" customFormat="false" ht="15" hidden="false" customHeight="false" outlineLevel="0" collapsed="false">
      <c r="A127" s="13" t="s">
        <v>792</v>
      </c>
      <c r="B127" s="14" t="s">
        <v>793</v>
      </c>
      <c r="C127" s="13" t="s">
        <v>74</v>
      </c>
      <c r="D127" s="13" t="s">
        <v>75</v>
      </c>
      <c r="E127" s="15" t="s">
        <v>794</v>
      </c>
      <c r="F127" s="13" t="s">
        <v>58</v>
      </c>
      <c r="G127" s="13" t="s">
        <v>140</v>
      </c>
      <c r="H127" s="14" t="s">
        <v>141</v>
      </c>
      <c r="I127" s="4" t="s">
        <v>15</v>
      </c>
    </row>
    <row r="128" customFormat="false" ht="15" hidden="false" customHeight="false" outlineLevel="0" collapsed="false">
      <c r="A128" s="13" t="s">
        <v>667</v>
      </c>
      <c r="B128" s="14" t="s">
        <v>668</v>
      </c>
      <c r="C128" s="13" t="s">
        <v>74</v>
      </c>
      <c r="D128" s="13" t="s">
        <v>75</v>
      </c>
      <c r="E128" s="15" t="s">
        <v>669</v>
      </c>
      <c r="F128" s="13" t="s">
        <v>58</v>
      </c>
      <c r="G128" s="13" t="s">
        <v>140</v>
      </c>
      <c r="H128" s="14" t="s">
        <v>141</v>
      </c>
      <c r="I128" s="4" t="s">
        <v>14</v>
      </c>
    </row>
    <row r="129" customFormat="false" ht="23.85" hidden="false" customHeight="false" outlineLevel="0" collapsed="false">
      <c r="A129" s="13" t="s">
        <v>670</v>
      </c>
      <c r="B129" s="14" t="s">
        <v>671</v>
      </c>
      <c r="C129" s="13" t="s">
        <v>74</v>
      </c>
      <c r="D129" s="13" t="s">
        <v>75</v>
      </c>
      <c r="E129" s="15" t="s">
        <v>672</v>
      </c>
      <c r="F129" s="13" t="s">
        <v>145</v>
      </c>
      <c r="G129" s="13" t="s">
        <v>140</v>
      </c>
      <c r="H129" s="14" t="s">
        <v>673</v>
      </c>
      <c r="I129" s="4" t="s">
        <v>14</v>
      </c>
    </row>
    <row r="130" customFormat="false" ht="15" hidden="false" customHeight="false" outlineLevel="0" collapsed="false">
      <c r="A130" s="13" t="s">
        <v>887</v>
      </c>
      <c r="B130" s="14" t="s">
        <v>888</v>
      </c>
      <c r="C130" s="13" t="s">
        <v>68</v>
      </c>
      <c r="D130" s="13" t="s">
        <v>69</v>
      </c>
      <c r="E130" s="15" t="s">
        <v>889</v>
      </c>
      <c r="F130" s="13" t="s">
        <v>58</v>
      </c>
      <c r="G130" s="13" t="s">
        <v>140</v>
      </c>
      <c r="H130" s="14" t="s">
        <v>141</v>
      </c>
      <c r="I130" s="4" t="s">
        <v>16</v>
      </c>
    </row>
    <row r="131" customFormat="false" ht="15" hidden="false" customHeight="false" outlineLevel="0" collapsed="false">
      <c r="A131" s="13" t="s">
        <v>154</v>
      </c>
      <c r="B131" s="14" t="s">
        <v>155</v>
      </c>
      <c r="C131" s="13" t="s">
        <v>68</v>
      </c>
      <c r="D131" s="13" t="s">
        <v>69</v>
      </c>
      <c r="E131" s="15" t="s">
        <v>156</v>
      </c>
      <c r="F131" s="13" t="s">
        <v>58</v>
      </c>
      <c r="G131" s="13" t="s">
        <v>140</v>
      </c>
      <c r="H131" s="14" t="s">
        <v>141</v>
      </c>
      <c r="I131" s="4" t="s">
        <v>10</v>
      </c>
    </row>
    <row r="132" customFormat="false" ht="15" hidden="false" customHeight="false" outlineLevel="0" collapsed="false">
      <c r="A132" s="13" t="s">
        <v>1255</v>
      </c>
      <c r="B132" s="14" t="s">
        <v>1256</v>
      </c>
      <c r="C132" s="13" t="s">
        <v>68</v>
      </c>
      <c r="D132" s="13" t="s">
        <v>69</v>
      </c>
      <c r="E132" s="15" t="s">
        <v>1257</v>
      </c>
      <c r="F132" s="13" t="s">
        <v>58</v>
      </c>
      <c r="G132" s="13" t="s">
        <v>140</v>
      </c>
      <c r="H132" s="14" t="s">
        <v>141</v>
      </c>
      <c r="I132" s="4" t="s">
        <v>19</v>
      </c>
    </row>
    <row r="133" customFormat="false" ht="15" hidden="false" customHeight="false" outlineLevel="0" collapsed="false">
      <c r="A133" s="13" t="s">
        <v>890</v>
      </c>
      <c r="B133" s="14" t="s">
        <v>891</v>
      </c>
      <c r="C133" s="13" t="s">
        <v>68</v>
      </c>
      <c r="D133" s="13" t="s">
        <v>69</v>
      </c>
      <c r="E133" s="15" t="s">
        <v>892</v>
      </c>
      <c r="F133" s="13" t="s">
        <v>58</v>
      </c>
      <c r="G133" s="13" t="s">
        <v>140</v>
      </c>
      <c r="H133" s="14" t="s">
        <v>141</v>
      </c>
      <c r="I133" s="4" t="s">
        <v>16</v>
      </c>
    </row>
    <row r="134" customFormat="false" ht="15" hidden="false" customHeight="false" outlineLevel="0" collapsed="false">
      <c r="A134" s="13" t="s">
        <v>157</v>
      </c>
      <c r="B134" s="14" t="s">
        <v>158</v>
      </c>
      <c r="C134" s="13" t="s">
        <v>68</v>
      </c>
      <c r="D134" s="13" t="s">
        <v>69</v>
      </c>
      <c r="E134" s="15" t="s">
        <v>159</v>
      </c>
      <c r="F134" s="13" t="s">
        <v>58</v>
      </c>
      <c r="G134" s="13" t="s">
        <v>140</v>
      </c>
      <c r="H134" s="14" t="s">
        <v>141</v>
      </c>
      <c r="I134" s="4" t="s">
        <v>10</v>
      </c>
    </row>
    <row r="135" customFormat="false" ht="15" hidden="false" customHeight="false" outlineLevel="0" collapsed="false">
      <c r="A135" s="13" t="s">
        <v>486</v>
      </c>
      <c r="B135" s="14" t="s">
        <v>487</v>
      </c>
      <c r="C135" s="13" t="s">
        <v>68</v>
      </c>
      <c r="D135" s="13" t="s">
        <v>69</v>
      </c>
      <c r="E135" s="15" t="s">
        <v>488</v>
      </c>
      <c r="F135" s="13" t="s">
        <v>58</v>
      </c>
      <c r="G135" s="13" t="s">
        <v>140</v>
      </c>
      <c r="H135" s="14" t="s">
        <v>141</v>
      </c>
      <c r="I135" s="4" t="s">
        <v>12</v>
      </c>
    </row>
    <row r="136" customFormat="false" ht="15" hidden="false" customHeight="false" outlineLevel="0" collapsed="false">
      <c r="A136" s="13" t="s">
        <v>893</v>
      </c>
      <c r="B136" s="14" t="s">
        <v>894</v>
      </c>
      <c r="C136" s="13" t="s">
        <v>68</v>
      </c>
      <c r="D136" s="13" t="s">
        <v>69</v>
      </c>
      <c r="E136" s="15" t="s">
        <v>895</v>
      </c>
      <c r="F136" s="13" t="s">
        <v>58</v>
      </c>
      <c r="G136" s="13" t="s">
        <v>140</v>
      </c>
      <c r="H136" s="14" t="s">
        <v>141</v>
      </c>
      <c r="I136" s="4" t="s">
        <v>16</v>
      </c>
    </row>
    <row r="137" customFormat="false" ht="15" hidden="false" customHeight="false" outlineLevel="0" collapsed="false">
      <c r="A137" s="13" t="s">
        <v>160</v>
      </c>
      <c r="B137" s="14" t="s">
        <v>161</v>
      </c>
      <c r="C137" s="13" t="s">
        <v>68</v>
      </c>
      <c r="D137" s="13" t="s">
        <v>69</v>
      </c>
      <c r="E137" s="15" t="s">
        <v>162</v>
      </c>
      <c r="F137" s="13" t="s">
        <v>58</v>
      </c>
      <c r="G137" s="13" t="s">
        <v>140</v>
      </c>
      <c r="H137" s="14" t="s">
        <v>141</v>
      </c>
      <c r="I137" s="4" t="s">
        <v>10</v>
      </c>
    </row>
    <row r="138" customFormat="false" ht="15" hidden="false" customHeight="false" outlineLevel="0" collapsed="false">
      <c r="A138" s="13" t="s">
        <v>163</v>
      </c>
      <c r="B138" s="14" t="s">
        <v>164</v>
      </c>
      <c r="C138" s="13" t="s">
        <v>68</v>
      </c>
      <c r="D138" s="13" t="s">
        <v>69</v>
      </c>
      <c r="E138" s="15" t="s">
        <v>165</v>
      </c>
      <c r="F138" s="13" t="s">
        <v>58</v>
      </c>
      <c r="G138" s="13" t="s">
        <v>140</v>
      </c>
      <c r="H138" s="14" t="s">
        <v>141</v>
      </c>
      <c r="I138" s="4" t="s">
        <v>10</v>
      </c>
    </row>
    <row r="139" customFormat="false" ht="15" hidden="false" customHeight="false" outlineLevel="0" collapsed="false">
      <c r="A139" s="13" t="s">
        <v>1133</v>
      </c>
      <c r="B139" s="14" t="s">
        <v>1134</v>
      </c>
      <c r="C139" s="13" t="s">
        <v>68</v>
      </c>
      <c r="D139" s="13" t="s">
        <v>69</v>
      </c>
      <c r="E139" s="15" t="s">
        <v>1135</v>
      </c>
      <c r="F139" s="13" t="s">
        <v>58</v>
      </c>
      <c r="G139" s="13" t="s">
        <v>140</v>
      </c>
      <c r="H139" s="14" t="s">
        <v>141</v>
      </c>
      <c r="I139" s="4" t="s">
        <v>18</v>
      </c>
    </row>
    <row r="140" customFormat="false" ht="15" hidden="false" customHeight="false" outlineLevel="0" collapsed="false">
      <c r="A140" s="13" t="s">
        <v>795</v>
      </c>
      <c r="B140" s="14" t="s">
        <v>796</v>
      </c>
      <c r="C140" s="13" t="s">
        <v>68</v>
      </c>
      <c r="D140" s="13" t="s">
        <v>69</v>
      </c>
      <c r="E140" s="15" t="s">
        <v>797</v>
      </c>
      <c r="F140" s="13" t="s">
        <v>58</v>
      </c>
      <c r="G140" s="13" t="s">
        <v>140</v>
      </c>
      <c r="H140" s="14" t="s">
        <v>141</v>
      </c>
      <c r="I140" s="4" t="s">
        <v>15</v>
      </c>
    </row>
    <row r="141" customFormat="false" ht="15" hidden="false" customHeight="false" outlineLevel="0" collapsed="false">
      <c r="A141" s="13" t="s">
        <v>1136</v>
      </c>
      <c r="B141" s="14" t="s">
        <v>1137</v>
      </c>
      <c r="C141" s="13" t="s">
        <v>68</v>
      </c>
      <c r="D141" s="13" t="s">
        <v>69</v>
      </c>
      <c r="E141" s="15" t="s">
        <v>1138</v>
      </c>
      <c r="F141" s="13" t="s">
        <v>58</v>
      </c>
      <c r="G141" s="13" t="s">
        <v>140</v>
      </c>
      <c r="H141" s="14" t="s">
        <v>141</v>
      </c>
      <c r="I141" s="4" t="s">
        <v>18</v>
      </c>
    </row>
    <row r="142" customFormat="false" ht="15" hidden="false" customHeight="false" outlineLevel="0" collapsed="false">
      <c r="A142" s="13" t="s">
        <v>166</v>
      </c>
      <c r="B142" s="14" t="s">
        <v>167</v>
      </c>
      <c r="C142" s="13" t="s">
        <v>68</v>
      </c>
      <c r="D142" s="13" t="s">
        <v>69</v>
      </c>
      <c r="E142" s="15" t="s">
        <v>168</v>
      </c>
      <c r="F142" s="13" t="s">
        <v>58</v>
      </c>
      <c r="G142" s="13" t="s">
        <v>140</v>
      </c>
      <c r="H142" s="14" t="s">
        <v>141</v>
      </c>
      <c r="I142" s="4" t="s">
        <v>10</v>
      </c>
    </row>
    <row r="143" customFormat="false" ht="15" hidden="false" customHeight="false" outlineLevel="0" collapsed="false">
      <c r="A143" s="13" t="s">
        <v>169</v>
      </c>
      <c r="B143" s="14" t="s">
        <v>170</v>
      </c>
      <c r="C143" s="13" t="s">
        <v>68</v>
      </c>
      <c r="D143" s="13" t="s">
        <v>69</v>
      </c>
      <c r="E143" s="15" t="s">
        <v>171</v>
      </c>
      <c r="F143" s="13" t="s">
        <v>58</v>
      </c>
      <c r="G143" s="13" t="s">
        <v>140</v>
      </c>
      <c r="H143" s="14" t="s">
        <v>141</v>
      </c>
      <c r="I143" s="4" t="s">
        <v>10</v>
      </c>
    </row>
    <row r="144" customFormat="false" ht="15" hidden="false" customHeight="false" outlineLevel="0" collapsed="false">
      <c r="A144" s="13" t="s">
        <v>172</v>
      </c>
      <c r="B144" s="14" t="s">
        <v>173</v>
      </c>
      <c r="C144" s="13" t="s">
        <v>68</v>
      </c>
      <c r="D144" s="13" t="s">
        <v>69</v>
      </c>
      <c r="E144" s="15" t="s">
        <v>174</v>
      </c>
      <c r="F144" s="13" t="s">
        <v>58</v>
      </c>
      <c r="G144" s="13" t="s">
        <v>140</v>
      </c>
      <c r="H144" s="14" t="s">
        <v>141</v>
      </c>
      <c r="I144" s="4" t="s">
        <v>10</v>
      </c>
    </row>
    <row r="145" customFormat="false" ht="15" hidden="false" customHeight="false" outlineLevel="0" collapsed="false">
      <c r="A145" s="13" t="s">
        <v>674</v>
      </c>
      <c r="B145" s="14" t="s">
        <v>675</v>
      </c>
      <c r="C145" s="13" t="s">
        <v>68</v>
      </c>
      <c r="D145" s="13" t="s">
        <v>69</v>
      </c>
      <c r="E145" s="15" t="s">
        <v>676</v>
      </c>
      <c r="F145" s="13" t="s">
        <v>58</v>
      </c>
      <c r="G145" s="13" t="s">
        <v>140</v>
      </c>
      <c r="H145" s="14" t="s">
        <v>141</v>
      </c>
      <c r="I145" s="4" t="s">
        <v>14</v>
      </c>
    </row>
    <row r="146" customFormat="false" ht="15" hidden="false" customHeight="false" outlineLevel="0" collapsed="false">
      <c r="A146" s="13" t="s">
        <v>489</v>
      </c>
      <c r="B146" s="14" t="s">
        <v>490</v>
      </c>
      <c r="C146" s="13" t="s">
        <v>68</v>
      </c>
      <c r="D146" s="13" t="s">
        <v>69</v>
      </c>
      <c r="E146" s="15" t="s">
        <v>491</v>
      </c>
      <c r="F146" s="13" t="s">
        <v>58</v>
      </c>
      <c r="G146" s="13" t="s">
        <v>140</v>
      </c>
      <c r="H146" s="14" t="s">
        <v>141</v>
      </c>
      <c r="I146" s="4" t="s">
        <v>12</v>
      </c>
    </row>
    <row r="147" customFormat="false" ht="15" hidden="false" customHeight="false" outlineLevel="0" collapsed="false">
      <c r="A147" s="13" t="s">
        <v>798</v>
      </c>
      <c r="B147" s="14" t="s">
        <v>799</v>
      </c>
      <c r="C147" s="13" t="s">
        <v>68</v>
      </c>
      <c r="D147" s="13" t="s">
        <v>69</v>
      </c>
      <c r="E147" s="15" t="s">
        <v>800</v>
      </c>
      <c r="F147" s="13" t="s">
        <v>58</v>
      </c>
      <c r="G147" s="13" t="s">
        <v>140</v>
      </c>
      <c r="H147" s="14" t="s">
        <v>141</v>
      </c>
      <c r="I147" s="4" t="s">
        <v>15</v>
      </c>
    </row>
    <row r="148" customFormat="false" ht="15" hidden="false" customHeight="false" outlineLevel="0" collapsed="false">
      <c r="A148" s="13" t="s">
        <v>1011</v>
      </c>
      <c r="B148" s="14" t="s">
        <v>1012</v>
      </c>
      <c r="C148" s="13" t="s">
        <v>68</v>
      </c>
      <c r="D148" s="13" t="s">
        <v>69</v>
      </c>
      <c r="E148" s="15" t="s">
        <v>1013</v>
      </c>
      <c r="F148" s="13" t="s">
        <v>58</v>
      </c>
      <c r="G148" s="13" t="s">
        <v>140</v>
      </c>
      <c r="H148" s="14" t="s">
        <v>141</v>
      </c>
      <c r="I148" s="4" t="s">
        <v>17</v>
      </c>
    </row>
    <row r="149" customFormat="false" ht="15" hidden="false" customHeight="false" outlineLevel="0" collapsed="false">
      <c r="A149" s="13" t="s">
        <v>1014</v>
      </c>
      <c r="B149" s="14" t="s">
        <v>1015</v>
      </c>
      <c r="C149" s="13" t="s">
        <v>68</v>
      </c>
      <c r="D149" s="13" t="s">
        <v>69</v>
      </c>
      <c r="E149" s="15" t="s">
        <v>1016</v>
      </c>
      <c r="F149" s="13" t="s">
        <v>58</v>
      </c>
      <c r="G149" s="13" t="s">
        <v>140</v>
      </c>
      <c r="H149" s="14" t="s">
        <v>141</v>
      </c>
      <c r="I149" s="4" t="s">
        <v>17</v>
      </c>
    </row>
    <row r="150" customFormat="false" ht="15" hidden="false" customHeight="false" outlineLevel="0" collapsed="false">
      <c r="A150" s="13" t="s">
        <v>175</v>
      </c>
      <c r="B150" s="14" t="s">
        <v>176</v>
      </c>
      <c r="C150" s="13" t="s">
        <v>68</v>
      </c>
      <c r="D150" s="13" t="s">
        <v>69</v>
      </c>
      <c r="E150" s="15" t="s">
        <v>177</v>
      </c>
      <c r="F150" s="13" t="s">
        <v>58</v>
      </c>
      <c r="G150" s="13" t="s">
        <v>140</v>
      </c>
      <c r="H150" s="14" t="s">
        <v>141</v>
      </c>
      <c r="I150" s="4" t="s">
        <v>10</v>
      </c>
    </row>
    <row r="151" customFormat="false" ht="15" hidden="false" customHeight="false" outlineLevel="0" collapsed="false">
      <c r="A151" s="13" t="s">
        <v>677</v>
      </c>
      <c r="B151" s="14" t="s">
        <v>678</v>
      </c>
      <c r="C151" s="13" t="s">
        <v>68</v>
      </c>
      <c r="D151" s="13" t="s">
        <v>69</v>
      </c>
      <c r="E151" s="15" t="s">
        <v>679</v>
      </c>
      <c r="F151" s="13" t="s">
        <v>58</v>
      </c>
      <c r="G151" s="13" t="s">
        <v>140</v>
      </c>
      <c r="H151" s="14" t="s">
        <v>141</v>
      </c>
      <c r="I151" s="4" t="s">
        <v>14</v>
      </c>
    </row>
    <row r="152" customFormat="false" ht="15" hidden="false" customHeight="false" outlineLevel="0" collapsed="false">
      <c r="A152" s="13" t="s">
        <v>896</v>
      </c>
      <c r="B152" s="14" t="s">
        <v>897</v>
      </c>
      <c r="C152" s="13" t="s">
        <v>68</v>
      </c>
      <c r="D152" s="13" t="s">
        <v>69</v>
      </c>
      <c r="E152" s="15" t="s">
        <v>898</v>
      </c>
      <c r="F152" s="13" t="s">
        <v>58</v>
      </c>
      <c r="G152" s="13" t="s">
        <v>140</v>
      </c>
      <c r="H152" s="14" t="s">
        <v>141</v>
      </c>
      <c r="I152" s="4" t="s">
        <v>16</v>
      </c>
    </row>
    <row r="153" customFormat="false" ht="15" hidden="false" customHeight="false" outlineLevel="0" collapsed="false">
      <c r="A153" s="13" t="s">
        <v>1139</v>
      </c>
      <c r="B153" s="14" t="s">
        <v>1140</v>
      </c>
      <c r="C153" s="13" t="s">
        <v>68</v>
      </c>
      <c r="D153" s="13" t="s">
        <v>69</v>
      </c>
      <c r="E153" s="15" t="s">
        <v>1141</v>
      </c>
      <c r="F153" s="13" t="s">
        <v>58</v>
      </c>
      <c r="G153" s="13" t="s">
        <v>140</v>
      </c>
      <c r="H153" s="14" t="s">
        <v>141</v>
      </c>
      <c r="I153" s="4" t="s">
        <v>18</v>
      </c>
    </row>
    <row r="154" customFormat="false" ht="15" hidden="false" customHeight="false" outlineLevel="0" collapsed="false">
      <c r="A154" s="13" t="s">
        <v>1017</v>
      </c>
      <c r="B154" s="14" t="s">
        <v>1018</v>
      </c>
      <c r="C154" s="13" t="s">
        <v>68</v>
      </c>
      <c r="D154" s="13" t="s">
        <v>69</v>
      </c>
      <c r="E154" s="15" t="s">
        <v>1019</v>
      </c>
      <c r="F154" s="13" t="s">
        <v>58</v>
      </c>
      <c r="G154" s="13" t="s">
        <v>140</v>
      </c>
      <c r="H154" s="14" t="s">
        <v>141</v>
      </c>
      <c r="I154" s="4" t="s">
        <v>17</v>
      </c>
    </row>
    <row r="155" customFormat="false" ht="23.85" hidden="false" customHeight="false" outlineLevel="0" collapsed="false">
      <c r="A155" s="13" t="s">
        <v>899</v>
      </c>
      <c r="B155" s="14" t="s">
        <v>900</v>
      </c>
      <c r="C155" s="13" t="s">
        <v>68</v>
      </c>
      <c r="D155" s="13" t="s">
        <v>69</v>
      </c>
      <c r="E155" s="15" t="s">
        <v>901</v>
      </c>
      <c r="F155" s="13" t="s">
        <v>58</v>
      </c>
      <c r="G155" s="13" t="s">
        <v>140</v>
      </c>
      <c r="H155" s="14" t="s">
        <v>141</v>
      </c>
      <c r="I155" s="4" t="s">
        <v>16</v>
      </c>
    </row>
    <row r="156" customFormat="false" ht="15" hidden="false" customHeight="false" outlineLevel="0" collapsed="false">
      <c r="A156" s="13" t="s">
        <v>178</v>
      </c>
      <c r="B156" s="14" t="s">
        <v>179</v>
      </c>
      <c r="C156" s="13" t="s">
        <v>68</v>
      </c>
      <c r="D156" s="13" t="s">
        <v>69</v>
      </c>
      <c r="E156" s="15" t="s">
        <v>180</v>
      </c>
      <c r="F156" s="13" t="s">
        <v>58</v>
      </c>
      <c r="G156" s="13" t="s">
        <v>140</v>
      </c>
      <c r="H156" s="14" t="s">
        <v>141</v>
      </c>
      <c r="I156" s="4" t="s">
        <v>10</v>
      </c>
    </row>
    <row r="157" customFormat="false" ht="15" hidden="false" customHeight="false" outlineLevel="0" collapsed="false">
      <c r="A157" s="13" t="s">
        <v>902</v>
      </c>
      <c r="B157" s="14" t="s">
        <v>903</v>
      </c>
      <c r="C157" s="13" t="s">
        <v>68</v>
      </c>
      <c r="D157" s="13" t="s">
        <v>69</v>
      </c>
      <c r="E157" s="15" t="s">
        <v>904</v>
      </c>
      <c r="F157" s="13" t="s">
        <v>58</v>
      </c>
      <c r="G157" s="13" t="s">
        <v>140</v>
      </c>
      <c r="H157" s="14" t="s">
        <v>141</v>
      </c>
      <c r="I157" s="4" t="s">
        <v>16</v>
      </c>
    </row>
    <row r="158" customFormat="false" ht="15" hidden="false" customHeight="false" outlineLevel="0" collapsed="false">
      <c r="A158" s="13" t="s">
        <v>905</v>
      </c>
      <c r="B158" s="14" t="s">
        <v>906</v>
      </c>
      <c r="C158" s="13" t="s">
        <v>68</v>
      </c>
      <c r="D158" s="13" t="s">
        <v>69</v>
      </c>
      <c r="E158" s="15" t="s">
        <v>907</v>
      </c>
      <c r="F158" s="13" t="s">
        <v>58</v>
      </c>
      <c r="G158" s="13" t="s">
        <v>140</v>
      </c>
      <c r="H158" s="14" t="s">
        <v>141</v>
      </c>
      <c r="I158" s="4" t="s">
        <v>16</v>
      </c>
    </row>
    <row r="159" customFormat="false" ht="23.85" hidden="false" customHeight="false" outlineLevel="0" collapsed="false">
      <c r="A159" s="13" t="s">
        <v>801</v>
      </c>
      <c r="B159" s="14" t="s">
        <v>802</v>
      </c>
      <c r="C159" s="13" t="s">
        <v>68</v>
      </c>
      <c r="D159" s="13" t="s">
        <v>471</v>
      </c>
      <c r="E159" s="15" t="s">
        <v>803</v>
      </c>
      <c r="F159" s="13" t="s">
        <v>58</v>
      </c>
      <c r="G159" s="13" t="s">
        <v>140</v>
      </c>
      <c r="H159" s="14" t="s">
        <v>495</v>
      </c>
      <c r="I159" s="4" t="s">
        <v>15</v>
      </c>
    </row>
    <row r="160" customFormat="false" ht="23.85" hidden="false" customHeight="false" outlineLevel="0" collapsed="false">
      <c r="A160" s="13" t="s">
        <v>680</v>
      </c>
      <c r="B160" s="14" t="s">
        <v>681</v>
      </c>
      <c r="C160" s="13" t="s">
        <v>68</v>
      </c>
      <c r="D160" s="13" t="s">
        <v>471</v>
      </c>
      <c r="E160" s="15" t="s">
        <v>682</v>
      </c>
      <c r="F160" s="13" t="s">
        <v>58</v>
      </c>
      <c r="G160" s="13" t="s">
        <v>140</v>
      </c>
      <c r="H160" s="14" t="s">
        <v>495</v>
      </c>
      <c r="I160" s="4" t="s">
        <v>14</v>
      </c>
    </row>
    <row r="161" customFormat="false" ht="23.85" hidden="false" customHeight="false" outlineLevel="0" collapsed="false">
      <c r="A161" s="13" t="s">
        <v>908</v>
      </c>
      <c r="B161" s="14" t="s">
        <v>909</v>
      </c>
      <c r="C161" s="13" t="s">
        <v>68</v>
      </c>
      <c r="D161" s="13" t="s">
        <v>471</v>
      </c>
      <c r="E161" s="15" t="s">
        <v>910</v>
      </c>
      <c r="F161" s="13" t="s">
        <v>58</v>
      </c>
      <c r="G161" s="13" t="s">
        <v>140</v>
      </c>
      <c r="H161" s="14" t="s">
        <v>495</v>
      </c>
      <c r="I161" s="4" t="s">
        <v>16</v>
      </c>
    </row>
    <row r="162" customFormat="false" ht="23.85" hidden="false" customHeight="false" outlineLevel="0" collapsed="false">
      <c r="A162" s="13" t="s">
        <v>683</v>
      </c>
      <c r="B162" s="14" t="s">
        <v>684</v>
      </c>
      <c r="C162" s="13" t="s">
        <v>68</v>
      </c>
      <c r="D162" s="13" t="s">
        <v>471</v>
      </c>
      <c r="E162" s="15" t="s">
        <v>685</v>
      </c>
      <c r="F162" s="13" t="s">
        <v>58</v>
      </c>
      <c r="G162" s="13" t="s">
        <v>140</v>
      </c>
      <c r="H162" s="14" t="s">
        <v>495</v>
      </c>
      <c r="I162" s="4" t="s">
        <v>14</v>
      </c>
    </row>
    <row r="163" customFormat="false" ht="23.85" hidden="false" customHeight="false" outlineLevel="0" collapsed="false">
      <c r="A163" s="13" t="s">
        <v>686</v>
      </c>
      <c r="B163" s="14" t="s">
        <v>687</v>
      </c>
      <c r="C163" s="13" t="s">
        <v>68</v>
      </c>
      <c r="D163" s="13" t="s">
        <v>471</v>
      </c>
      <c r="E163" s="15" t="s">
        <v>688</v>
      </c>
      <c r="F163" s="13" t="s">
        <v>58</v>
      </c>
      <c r="G163" s="13" t="s">
        <v>140</v>
      </c>
      <c r="H163" s="14" t="s">
        <v>495</v>
      </c>
      <c r="I163" s="4" t="s">
        <v>14</v>
      </c>
    </row>
    <row r="164" customFormat="false" ht="23.85" hidden="false" customHeight="false" outlineLevel="0" collapsed="false">
      <c r="A164" s="13" t="s">
        <v>689</v>
      </c>
      <c r="B164" s="14" t="s">
        <v>690</v>
      </c>
      <c r="C164" s="13" t="s">
        <v>68</v>
      </c>
      <c r="D164" s="13" t="s">
        <v>471</v>
      </c>
      <c r="E164" s="15" t="s">
        <v>691</v>
      </c>
      <c r="F164" s="13" t="s">
        <v>58</v>
      </c>
      <c r="G164" s="13" t="s">
        <v>140</v>
      </c>
      <c r="H164" s="14" t="s">
        <v>495</v>
      </c>
      <c r="I164" s="4" t="s">
        <v>14</v>
      </c>
    </row>
    <row r="165" customFormat="false" ht="23.85" hidden="false" customHeight="false" outlineLevel="0" collapsed="false">
      <c r="A165" s="13" t="s">
        <v>1142</v>
      </c>
      <c r="B165" s="14" t="s">
        <v>1143</v>
      </c>
      <c r="C165" s="13" t="s">
        <v>68</v>
      </c>
      <c r="D165" s="13" t="s">
        <v>471</v>
      </c>
      <c r="E165" s="15" t="s">
        <v>1144</v>
      </c>
      <c r="F165" s="13" t="s">
        <v>58</v>
      </c>
      <c r="G165" s="13" t="s">
        <v>140</v>
      </c>
      <c r="H165" s="14" t="s">
        <v>495</v>
      </c>
      <c r="I165" s="4" t="s">
        <v>18</v>
      </c>
    </row>
    <row r="166" customFormat="false" ht="23.85" hidden="false" customHeight="false" outlineLevel="0" collapsed="false">
      <c r="A166" s="13" t="s">
        <v>1145</v>
      </c>
      <c r="B166" s="14" t="s">
        <v>1146</v>
      </c>
      <c r="C166" s="13" t="s">
        <v>68</v>
      </c>
      <c r="D166" s="13" t="s">
        <v>471</v>
      </c>
      <c r="E166" s="15" t="s">
        <v>1147</v>
      </c>
      <c r="F166" s="13" t="s">
        <v>58</v>
      </c>
      <c r="G166" s="13" t="s">
        <v>140</v>
      </c>
      <c r="H166" s="14" t="s">
        <v>495</v>
      </c>
      <c r="I166" s="4" t="s">
        <v>18</v>
      </c>
    </row>
    <row r="167" customFormat="false" ht="23.85" hidden="false" customHeight="false" outlineLevel="0" collapsed="false">
      <c r="A167" s="13" t="s">
        <v>1148</v>
      </c>
      <c r="B167" s="14" t="s">
        <v>1149</v>
      </c>
      <c r="C167" s="13" t="s">
        <v>68</v>
      </c>
      <c r="D167" s="13" t="s">
        <v>471</v>
      </c>
      <c r="E167" s="15" t="s">
        <v>1150</v>
      </c>
      <c r="F167" s="13" t="s">
        <v>58</v>
      </c>
      <c r="G167" s="13" t="s">
        <v>140</v>
      </c>
      <c r="H167" s="14" t="s">
        <v>495</v>
      </c>
      <c r="I167" s="4" t="s">
        <v>18</v>
      </c>
    </row>
    <row r="168" customFormat="false" ht="23.85" hidden="false" customHeight="false" outlineLevel="0" collapsed="false">
      <c r="A168" s="13" t="s">
        <v>492</v>
      </c>
      <c r="B168" s="14" t="s">
        <v>493</v>
      </c>
      <c r="C168" s="13" t="s">
        <v>68</v>
      </c>
      <c r="D168" s="13" t="s">
        <v>471</v>
      </c>
      <c r="E168" s="15" t="s">
        <v>494</v>
      </c>
      <c r="F168" s="13" t="s">
        <v>58</v>
      </c>
      <c r="G168" s="13" t="s">
        <v>140</v>
      </c>
      <c r="H168" s="14" t="s">
        <v>495</v>
      </c>
      <c r="I168" s="4" t="s">
        <v>12</v>
      </c>
    </row>
    <row r="169" customFormat="false" ht="23.85" hidden="false" customHeight="false" outlineLevel="0" collapsed="false">
      <c r="A169" s="13" t="s">
        <v>496</v>
      </c>
      <c r="B169" s="14" t="s">
        <v>497</v>
      </c>
      <c r="C169" s="13" t="s">
        <v>68</v>
      </c>
      <c r="D169" s="13" t="s">
        <v>471</v>
      </c>
      <c r="E169" s="15" t="s">
        <v>498</v>
      </c>
      <c r="F169" s="13" t="s">
        <v>58</v>
      </c>
      <c r="G169" s="13" t="s">
        <v>140</v>
      </c>
      <c r="H169" s="14" t="s">
        <v>495</v>
      </c>
      <c r="I169" s="4" t="s">
        <v>12</v>
      </c>
    </row>
    <row r="170" customFormat="false" ht="23.85" hidden="false" customHeight="false" outlineLevel="0" collapsed="false">
      <c r="A170" s="13" t="s">
        <v>364</v>
      </c>
      <c r="B170" s="14" t="s">
        <v>365</v>
      </c>
      <c r="C170" s="13" t="s">
        <v>68</v>
      </c>
      <c r="D170" s="13" t="s">
        <v>69</v>
      </c>
      <c r="E170" s="15" t="s">
        <v>366</v>
      </c>
      <c r="F170" s="13" t="s">
        <v>145</v>
      </c>
      <c r="G170" s="13" t="s">
        <v>140</v>
      </c>
      <c r="H170" s="14" t="s">
        <v>367</v>
      </c>
      <c r="I170" s="4" t="s">
        <v>11</v>
      </c>
    </row>
    <row r="171" customFormat="false" ht="15" hidden="false" customHeight="false" outlineLevel="0" collapsed="false">
      <c r="A171" s="13" t="s">
        <v>804</v>
      </c>
      <c r="B171" s="14" t="s">
        <v>805</v>
      </c>
      <c r="C171" s="13" t="s">
        <v>68</v>
      </c>
      <c r="D171" s="13" t="s">
        <v>69</v>
      </c>
      <c r="E171" s="15" t="s">
        <v>806</v>
      </c>
      <c r="F171" s="13" t="s">
        <v>58</v>
      </c>
      <c r="G171" s="13" t="s">
        <v>140</v>
      </c>
      <c r="H171" s="14" t="s">
        <v>141</v>
      </c>
      <c r="I171" s="4" t="s">
        <v>15</v>
      </c>
    </row>
    <row r="172" customFormat="false" ht="15" hidden="false" customHeight="false" outlineLevel="0" collapsed="false">
      <c r="A172" s="13" t="s">
        <v>807</v>
      </c>
      <c r="B172" s="14" t="s">
        <v>808</v>
      </c>
      <c r="C172" s="13" t="s">
        <v>68</v>
      </c>
      <c r="D172" s="13" t="s">
        <v>69</v>
      </c>
      <c r="E172" s="15" t="s">
        <v>809</v>
      </c>
      <c r="F172" s="13" t="s">
        <v>58</v>
      </c>
      <c r="G172" s="13" t="s">
        <v>140</v>
      </c>
      <c r="H172" s="14" t="s">
        <v>141</v>
      </c>
      <c r="I172" s="4" t="s">
        <v>15</v>
      </c>
    </row>
    <row r="173" customFormat="false" ht="15" hidden="false" customHeight="false" outlineLevel="0" collapsed="false">
      <c r="A173" s="13" t="s">
        <v>181</v>
      </c>
      <c r="B173" s="14" t="s">
        <v>182</v>
      </c>
      <c r="C173" s="13" t="s">
        <v>68</v>
      </c>
      <c r="D173" s="13" t="s">
        <v>69</v>
      </c>
      <c r="E173" s="15" t="s">
        <v>183</v>
      </c>
      <c r="F173" s="13" t="s">
        <v>58</v>
      </c>
      <c r="G173" s="13" t="s">
        <v>140</v>
      </c>
      <c r="H173" s="14" t="s">
        <v>141</v>
      </c>
      <c r="I173" s="4" t="s">
        <v>10</v>
      </c>
    </row>
    <row r="174" customFormat="false" ht="15" hidden="false" customHeight="false" outlineLevel="0" collapsed="false">
      <c r="A174" s="13" t="s">
        <v>911</v>
      </c>
      <c r="B174" s="14" t="s">
        <v>912</v>
      </c>
      <c r="C174" s="13" t="s">
        <v>68</v>
      </c>
      <c r="D174" s="13" t="s">
        <v>69</v>
      </c>
      <c r="E174" s="15" t="s">
        <v>913</v>
      </c>
      <c r="F174" s="13" t="s">
        <v>58</v>
      </c>
      <c r="G174" s="13" t="s">
        <v>140</v>
      </c>
      <c r="H174" s="14" t="s">
        <v>141</v>
      </c>
      <c r="I174" s="4" t="s">
        <v>16</v>
      </c>
    </row>
    <row r="175" customFormat="false" ht="15" hidden="false" customHeight="false" outlineLevel="0" collapsed="false">
      <c r="A175" s="13" t="s">
        <v>914</v>
      </c>
      <c r="B175" s="14" t="s">
        <v>915</v>
      </c>
      <c r="C175" s="13" t="s">
        <v>68</v>
      </c>
      <c r="D175" s="13" t="s">
        <v>69</v>
      </c>
      <c r="E175" s="15" t="s">
        <v>916</v>
      </c>
      <c r="F175" s="13" t="s">
        <v>58</v>
      </c>
      <c r="G175" s="13" t="s">
        <v>140</v>
      </c>
      <c r="H175" s="14" t="s">
        <v>141</v>
      </c>
      <c r="I175" s="4" t="s">
        <v>16</v>
      </c>
    </row>
    <row r="176" customFormat="false" ht="15" hidden="false" customHeight="false" outlineLevel="0" collapsed="false">
      <c r="A176" s="13" t="s">
        <v>184</v>
      </c>
      <c r="B176" s="14" t="s">
        <v>185</v>
      </c>
      <c r="C176" s="13" t="s">
        <v>68</v>
      </c>
      <c r="D176" s="13" t="s">
        <v>69</v>
      </c>
      <c r="E176" s="15" t="s">
        <v>186</v>
      </c>
      <c r="F176" s="13" t="s">
        <v>58</v>
      </c>
      <c r="G176" s="13" t="s">
        <v>140</v>
      </c>
      <c r="H176" s="14" t="s">
        <v>141</v>
      </c>
      <c r="I176" s="4" t="s">
        <v>10</v>
      </c>
    </row>
    <row r="177" customFormat="false" ht="15" hidden="false" customHeight="false" outlineLevel="0" collapsed="false">
      <c r="A177" s="13" t="s">
        <v>1151</v>
      </c>
      <c r="B177" s="14" t="s">
        <v>1152</v>
      </c>
      <c r="C177" s="13" t="s">
        <v>68</v>
      </c>
      <c r="D177" s="13" t="s">
        <v>69</v>
      </c>
      <c r="E177" s="15" t="s">
        <v>1153</v>
      </c>
      <c r="F177" s="13" t="s">
        <v>58</v>
      </c>
      <c r="G177" s="13" t="s">
        <v>140</v>
      </c>
      <c r="H177" s="14" t="s">
        <v>141</v>
      </c>
      <c r="I177" s="4" t="s">
        <v>18</v>
      </c>
    </row>
    <row r="178" customFormat="false" ht="15" hidden="false" customHeight="false" outlineLevel="0" collapsed="false">
      <c r="A178" s="13" t="s">
        <v>917</v>
      </c>
      <c r="B178" s="14" t="s">
        <v>918</v>
      </c>
      <c r="C178" s="13" t="s">
        <v>68</v>
      </c>
      <c r="D178" s="13" t="s">
        <v>69</v>
      </c>
      <c r="E178" s="15" t="s">
        <v>919</v>
      </c>
      <c r="F178" s="13" t="s">
        <v>58</v>
      </c>
      <c r="G178" s="13" t="s">
        <v>140</v>
      </c>
      <c r="H178" s="14" t="s">
        <v>141</v>
      </c>
      <c r="I178" s="4" t="s">
        <v>16</v>
      </c>
    </row>
    <row r="179" customFormat="false" ht="15" hidden="false" customHeight="false" outlineLevel="0" collapsed="false">
      <c r="A179" s="13" t="s">
        <v>1154</v>
      </c>
      <c r="B179" s="14" t="s">
        <v>1155</v>
      </c>
      <c r="C179" s="13" t="s">
        <v>68</v>
      </c>
      <c r="D179" s="13" t="s">
        <v>69</v>
      </c>
      <c r="E179" s="15" t="s">
        <v>1156</v>
      </c>
      <c r="F179" s="13" t="s">
        <v>58</v>
      </c>
      <c r="G179" s="13" t="s">
        <v>140</v>
      </c>
      <c r="H179" s="14" t="s">
        <v>141</v>
      </c>
      <c r="I179" s="4" t="s">
        <v>18</v>
      </c>
    </row>
    <row r="180" customFormat="false" ht="15" hidden="false" customHeight="false" outlineLevel="0" collapsed="false">
      <c r="A180" s="13" t="s">
        <v>187</v>
      </c>
      <c r="B180" s="14" t="s">
        <v>188</v>
      </c>
      <c r="C180" s="13" t="s">
        <v>68</v>
      </c>
      <c r="D180" s="13" t="s">
        <v>69</v>
      </c>
      <c r="E180" s="15" t="s">
        <v>189</v>
      </c>
      <c r="F180" s="13" t="s">
        <v>58</v>
      </c>
      <c r="G180" s="13" t="s">
        <v>140</v>
      </c>
      <c r="H180" s="14" t="s">
        <v>141</v>
      </c>
      <c r="I180" s="4" t="s">
        <v>10</v>
      </c>
    </row>
    <row r="181" customFormat="false" ht="15" hidden="false" customHeight="false" outlineLevel="0" collapsed="false">
      <c r="A181" s="13" t="s">
        <v>920</v>
      </c>
      <c r="B181" s="14" t="s">
        <v>921</v>
      </c>
      <c r="C181" s="13" t="s">
        <v>68</v>
      </c>
      <c r="D181" s="13" t="s">
        <v>69</v>
      </c>
      <c r="E181" s="15" t="s">
        <v>922</v>
      </c>
      <c r="F181" s="13" t="s">
        <v>58</v>
      </c>
      <c r="G181" s="13" t="s">
        <v>140</v>
      </c>
      <c r="H181" s="14" t="s">
        <v>141</v>
      </c>
      <c r="I181" s="4" t="s">
        <v>16</v>
      </c>
    </row>
    <row r="182" customFormat="false" ht="15" hidden="false" customHeight="false" outlineLevel="0" collapsed="false">
      <c r="A182" s="13" t="s">
        <v>499</v>
      </c>
      <c r="B182" s="14" t="s">
        <v>500</v>
      </c>
      <c r="C182" s="13" t="s">
        <v>68</v>
      </c>
      <c r="D182" s="13" t="s">
        <v>69</v>
      </c>
      <c r="E182" s="15" t="s">
        <v>501</v>
      </c>
      <c r="F182" s="13" t="s">
        <v>58</v>
      </c>
      <c r="G182" s="13" t="s">
        <v>140</v>
      </c>
      <c r="H182" s="14" t="s">
        <v>141</v>
      </c>
      <c r="I182" s="4" t="s">
        <v>12</v>
      </c>
    </row>
    <row r="183" customFormat="false" ht="15" hidden="false" customHeight="false" outlineLevel="0" collapsed="false">
      <c r="A183" s="13" t="s">
        <v>190</v>
      </c>
      <c r="B183" s="14" t="s">
        <v>191</v>
      </c>
      <c r="C183" s="13" t="s">
        <v>68</v>
      </c>
      <c r="D183" s="13" t="s">
        <v>69</v>
      </c>
      <c r="E183" s="15" t="s">
        <v>192</v>
      </c>
      <c r="F183" s="13" t="s">
        <v>58</v>
      </c>
      <c r="G183" s="13" t="s">
        <v>140</v>
      </c>
      <c r="H183" s="14" t="s">
        <v>141</v>
      </c>
      <c r="I183" s="4" t="s">
        <v>10</v>
      </c>
    </row>
    <row r="184" customFormat="false" ht="15" hidden="false" customHeight="false" outlineLevel="0" collapsed="false">
      <c r="A184" s="13" t="s">
        <v>193</v>
      </c>
      <c r="B184" s="14" t="s">
        <v>194</v>
      </c>
      <c r="C184" s="13" t="s">
        <v>68</v>
      </c>
      <c r="D184" s="13" t="s">
        <v>69</v>
      </c>
      <c r="E184" s="15" t="s">
        <v>195</v>
      </c>
      <c r="F184" s="13" t="s">
        <v>58</v>
      </c>
      <c r="G184" s="13" t="s">
        <v>140</v>
      </c>
      <c r="H184" s="14" t="s">
        <v>141</v>
      </c>
      <c r="I184" s="4" t="s">
        <v>10</v>
      </c>
    </row>
    <row r="185" customFormat="false" ht="15" hidden="false" customHeight="false" outlineLevel="0" collapsed="false">
      <c r="A185" s="13" t="s">
        <v>923</v>
      </c>
      <c r="B185" s="14" t="s">
        <v>924</v>
      </c>
      <c r="C185" s="13" t="s">
        <v>68</v>
      </c>
      <c r="D185" s="13" t="s">
        <v>69</v>
      </c>
      <c r="E185" s="15" t="s">
        <v>925</v>
      </c>
      <c r="F185" s="13" t="s">
        <v>58</v>
      </c>
      <c r="G185" s="13" t="s">
        <v>140</v>
      </c>
      <c r="H185" s="14" t="s">
        <v>141</v>
      </c>
      <c r="I185" s="4" t="s">
        <v>16</v>
      </c>
    </row>
    <row r="186" customFormat="false" ht="15" hidden="false" customHeight="false" outlineLevel="0" collapsed="false">
      <c r="A186" s="13" t="s">
        <v>196</v>
      </c>
      <c r="B186" s="14" t="s">
        <v>197</v>
      </c>
      <c r="C186" s="13" t="s">
        <v>68</v>
      </c>
      <c r="D186" s="13" t="s">
        <v>69</v>
      </c>
      <c r="E186" s="15" t="s">
        <v>198</v>
      </c>
      <c r="F186" s="13" t="s">
        <v>58</v>
      </c>
      <c r="G186" s="13" t="s">
        <v>140</v>
      </c>
      <c r="H186" s="14" t="s">
        <v>141</v>
      </c>
      <c r="I186" s="4" t="s">
        <v>10</v>
      </c>
    </row>
    <row r="187" customFormat="false" ht="15" hidden="false" customHeight="false" outlineLevel="0" collapsed="false">
      <c r="A187" s="13" t="s">
        <v>199</v>
      </c>
      <c r="B187" s="14" t="s">
        <v>200</v>
      </c>
      <c r="C187" s="13" t="s">
        <v>68</v>
      </c>
      <c r="D187" s="13" t="s">
        <v>69</v>
      </c>
      <c r="E187" s="15" t="s">
        <v>201</v>
      </c>
      <c r="F187" s="13" t="s">
        <v>58</v>
      </c>
      <c r="G187" s="13" t="s">
        <v>140</v>
      </c>
      <c r="H187" s="14" t="s">
        <v>141</v>
      </c>
      <c r="I187" s="4" t="s">
        <v>10</v>
      </c>
    </row>
    <row r="188" customFormat="false" ht="15" hidden="false" customHeight="false" outlineLevel="0" collapsed="false">
      <c r="A188" s="13" t="s">
        <v>202</v>
      </c>
      <c r="B188" s="14" t="s">
        <v>203</v>
      </c>
      <c r="C188" s="13" t="s">
        <v>68</v>
      </c>
      <c r="D188" s="13" t="s">
        <v>69</v>
      </c>
      <c r="E188" s="15" t="s">
        <v>204</v>
      </c>
      <c r="F188" s="13" t="s">
        <v>58</v>
      </c>
      <c r="G188" s="13" t="s">
        <v>140</v>
      </c>
      <c r="H188" s="14" t="s">
        <v>141</v>
      </c>
      <c r="I188" s="4" t="s">
        <v>10</v>
      </c>
    </row>
    <row r="189" customFormat="false" ht="15" hidden="false" customHeight="false" outlineLevel="0" collapsed="false">
      <c r="A189" s="13" t="s">
        <v>205</v>
      </c>
      <c r="B189" s="14" t="s">
        <v>206</v>
      </c>
      <c r="C189" s="13" t="s">
        <v>68</v>
      </c>
      <c r="D189" s="13" t="s">
        <v>69</v>
      </c>
      <c r="E189" s="15" t="s">
        <v>207</v>
      </c>
      <c r="F189" s="13" t="s">
        <v>58</v>
      </c>
      <c r="G189" s="13" t="s">
        <v>140</v>
      </c>
      <c r="H189" s="14" t="s">
        <v>141</v>
      </c>
      <c r="I189" s="4" t="s">
        <v>10</v>
      </c>
    </row>
    <row r="190" customFormat="false" ht="23.85" hidden="false" customHeight="false" outlineLevel="0" collapsed="false">
      <c r="A190" s="13" t="s">
        <v>1258</v>
      </c>
      <c r="B190" s="14" t="s">
        <v>1259</v>
      </c>
      <c r="C190" s="13" t="s">
        <v>638</v>
      </c>
      <c r="D190" s="13" t="s">
        <v>56</v>
      </c>
      <c r="E190" s="15" t="s">
        <v>1260</v>
      </c>
      <c r="F190" s="13" t="s">
        <v>212</v>
      </c>
      <c r="G190" s="13" t="s">
        <v>59</v>
      </c>
      <c r="H190" s="14" t="s">
        <v>1261</v>
      </c>
      <c r="I190" s="4" t="s">
        <v>19</v>
      </c>
    </row>
    <row r="191" customFormat="false" ht="23.85" hidden="false" customHeight="false" outlineLevel="0" collapsed="false">
      <c r="A191" s="13" t="s">
        <v>209</v>
      </c>
      <c r="B191" s="14" t="s">
        <v>210</v>
      </c>
      <c r="C191" s="13" t="s">
        <v>80</v>
      </c>
      <c r="D191" s="13" t="s">
        <v>56</v>
      </c>
      <c r="E191" s="15" t="s">
        <v>211</v>
      </c>
      <c r="F191" s="13" t="s">
        <v>212</v>
      </c>
      <c r="G191" s="13" t="s">
        <v>59</v>
      </c>
      <c r="H191" s="14" t="s">
        <v>213</v>
      </c>
      <c r="I191" s="4" t="s">
        <v>10</v>
      </c>
    </row>
    <row r="192" customFormat="false" ht="23.85" hidden="false" customHeight="false" outlineLevel="0" collapsed="false">
      <c r="A192" s="13" t="s">
        <v>692</v>
      </c>
      <c r="B192" s="14" t="s">
        <v>693</v>
      </c>
      <c r="C192" s="13" t="s">
        <v>63</v>
      </c>
      <c r="D192" s="13" t="s">
        <v>56</v>
      </c>
      <c r="E192" s="15" t="s">
        <v>694</v>
      </c>
      <c r="F192" s="13" t="s">
        <v>212</v>
      </c>
      <c r="G192" s="13" t="s">
        <v>59</v>
      </c>
      <c r="H192" s="14" t="s">
        <v>695</v>
      </c>
      <c r="I192" s="4" t="s">
        <v>14</v>
      </c>
    </row>
    <row r="193" customFormat="false" ht="15" hidden="false" customHeight="false" outlineLevel="0" collapsed="false">
      <c r="A193" s="13" t="s">
        <v>1052</v>
      </c>
      <c r="B193" s="14" t="s">
        <v>1053</v>
      </c>
      <c r="C193" s="13" t="s">
        <v>1054</v>
      </c>
      <c r="D193" s="13" t="s">
        <v>1055</v>
      </c>
      <c r="E193" s="15" t="s">
        <v>1056</v>
      </c>
      <c r="F193" s="13" t="s">
        <v>271</v>
      </c>
      <c r="G193" s="13" t="s">
        <v>59</v>
      </c>
      <c r="H193" s="14" t="s">
        <v>1057</v>
      </c>
      <c r="I193" s="4" t="s">
        <v>17</v>
      </c>
    </row>
    <row r="194" customFormat="false" ht="15" hidden="false" customHeight="false" outlineLevel="0" collapsed="false">
      <c r="A194" s="13" t="s">
        <v>1157</v>
      </c>
      <c r="B194" s="14" t="s">
        <v>1158</v>
      </c>
      <c r="C194" s="13" t="s">
        <v>74</v>
      </c>
      <c r="D194" s="13" t="s">
        <v>56</v>
      </c>
      <c r="E194" s="15" t="s">
        <v>1159</v>
      </c>
      <c r="F194" s="13" t="s">
        <v>212</v>
      </c>
      <c r="G194" s="13" t="s">
        <v>59</v>
      </c>
      <c r="H194" s="14" t="s">
        <v>1160</v>
      </c>
      <c r="I194" s="4" t="s">
        <v>18</v>
      </c>
    </row>
    <row r="195" customFormat="false" ht="15" hidden="false" customHeight="false" outlineLevel="0" collapsed="false">
      <c r="A195" s="13" t="s">
        <v>1262</v>
      </c>
      <c r="B195" s="14" t="s">
        <v>1263</v>
      </c>
      <c r="C195" s="13" t="s">
        <v>74</v>
      </c>
      <c r="D195" s="13" t="s">
        <v>56</v>
      </c>
      <c r="E195" s="15" t="s">
        <v>1264</v>
      </c>
      <c r="F195" s="13" t="s">
        <v>212</v>
      </c>
      <c r="G195" s="13" t="s">
        <v>59</v>
      </c>
      <c r="H195" s="14" t="s">
        <v>1265</v>
      </c>
      <c r="I195" s="4" t="s">
        <v>19</v>
      </c>
    </row>
    <row r="196" customFormat="false" ht="23.85" hidden="false" customHeight="false" outlineLevel="0" collapsed="false">
      <c r="A196" s="13" t="s">
        <v>368</v>
      </c>
      <c r="B196" s="14" t="s">
        <v>369</v>
      </c>
      <c r="C196" s="13" t="s">
        <v>74</v>
      </c>
      <c r="D196" s="13" t="s">
        <v>56</v>
      </c>
      <c r="E196" s="15" t="s">
        <v>370</v>
      </c>
      <c r="F196" s="13" t="s">
        <v>212</v>
      </c>
      <c r="G196" s="13" t="s">
        <v>59</v>
      </c>
      <c r="H196" s="14" t="s">
        <v>371</v>
      </c>
      <c r="I196" s="4" t="s">
        <v>1320</v>
      </c>
    </row>
    <row r="197" customFormat="false" ht="15" hidden="false" customHeight="false" outlineLevel="0" collapsed="false">
      <c r="A197" s="13" t="s">
        <v>601</v>
      </c>
      <c r="B197" s="14" t="s">
        <v>602</v>
      </c>
      <c r="C197" s="13" t="s">
        <v>74</v>
      </c>
      <c r="D197" s="13" t="s">
        <v>56</v>
      </c>
      <c r="E197" s="15" t="s">
        <v>603</v>
      </c>
      <c r="F197" s="13" t="s">
        <v>212</v>
      </c>
      <c r="G197" s="13" t="s">
        <v>59</v>
      </c>
      <c r="H197" s="14" t="s">
        <v>604</v>
      </c>
      <c r="I197" s="4" t="s">
        <v>13</v>
      </c>
    </row>
    <row r="198" customFormat="false" ht="15" hidden="false" customHeight="false" outlineLevel="0" collapsed="false">
      <c r="A198" s="13" t="s">
        <v>696</v>
      </c>
      <c r="B198" s="14" t="s">
        <v>697</v>
      </c>
      <c r="C198" s="13" t="s">
        <v>74</v>
      </c>
      <c r="D198" s="13" t="s">
        <v>56</v>
      </c>
      <c r="E198" s="15" t="s">
        <v>698</v>
      </c>
      <c r="F198" s="13" t="s">
        <v>212</v>
      </c>
      <c r="G198" s="13" t="s">
        <v>59</v>
      </c>
      <c r="H198" s="14" t="s">
        <v>699</v>
      </c>
      <c r="I198" s="4" t="s">
        <v>14</v>
      </c>
    </row>
    <row r="199" customFormat="false" ht="15" hidden="false" customHeight="false" outlineLevel="0" collapsed="false">
      <c r="A199" s="13" t="s">
        <v>1266</v>
      </c>
      <c r="B199" s="14" t="s">
        <v>1267</v>
      </c>
      <c r="C199" s="13" t="s">
        <v>74</v>
      </c>
      <c r="D199" s="13" t="s">
        <v>56</v>
      </c>
      <c r="E199" s="15" t="s">
        <v>1268</v>
      </c>
      <c r="F199" s="13" t="s">
        <v>212</v>
      </c>
      <c r="G199" s="13" t="s">
        <v>59</v>
      </c>
      <c r="H199" s="14" t="s">
        <v>1269</v>
      </c>
      <c r="I199" s="4" t="s">
        <v>19</v>
      </c>
    </row>
    <row r="200" customFormat="false" ht="15" hidden="false" customHeight="false" outlineLevel="0" collapsed="false">
      <c r="A200" s="13" t="s">
        <v>214</v>
      </c>
      <c r="B200" s="14" t="s">
        <v>215</v>
      </c>
      <c r="C200" s="13" t="s">
        <v>74</v>
      </c>
      <c r="D200" s="13" t="s">
        <v>56</v>
      </c>
      <c r="E200" s="15" t="s">
        <v>216</v>
      </c>
      <c r="F200" s="13" t="s">
        <v>212</v>
      </c>
      <c r="G200" s="13" t="s">
        <v>59</v>
      </c>
      <c r="H200" s="14" t="s">
        <v>217</v>
      </c>
      <c r="I200" s="4" t="s">
        <v>1323</v>
      </c>
    </row>
    <row r="201" customFormat="false" ht="15" hidden="false" customHeight="false" outlineLevel="0" collapsed="false">
      <c r="A201" s="13" t="s">
        <v>218</v>
      </c>
      <c r="B201" s="14" t="s">
        <v>219</v>
      </c>
      <c r="C201" s="13" t="s">
        <v>74</v>
      </c>
      <c r="D201" s="13" t="s">
        <v>56</v>
      </c>
      <c r="E201" s="15" t="s">
        <v>220</v>
      </c>
      <c r="F201" s="13" t="s">
        <v>212</v>
      </c>
      <c r="G201" s="13" t="s">
        <v>59</v>
      </c>
      <c r="H201" s="14" t="s">
        <v>221</v>
      </c>
      <c r="I201" s="4" t="s">
        <v>1322</v>
      </c>
    </row>
    <row r="202" customFormat="false" ht="23.85" hidden="false" customHeight="false" outlineLevel="0" collapsed="false">
      <c r="A202" s="13" t="s">
        <v>373</v>
      </c>
      <c r="B202" s="14" t="s">
        <v>374</v>
      </c>
      <c r="C202" s="13" t="s">
        <v>74</v>
      </c>
      <c r="D202" s="13" t="s">
        <v>56</v>
      </c>
      <c r="E202" s="15" t="s">
        <v>375</v>
      </c>
      <c r="F202" s="13" t="s">
        <v>212</v>
      </c>
      <c r="G202" s="13" t="s">
        <v>59</v>
      </c>
      <c r="H202" s="14" t="s">
        <v>376</v>
      </c>
      <c r="I202" s="4" t="s">
        <v>11</v>
      </c>
    </row>
    <row r="203" customFormat="false" ht="15" hidden="false" customHeight="false" outlineLevel="0" collapsed="false">
      <c r="A203" s="13" t="s">
        <v>503</v>
      </c>
      <c r="B203" s="14" t="s">
        <v>504</v>
      </c>
      <c r="C203" s="13" t="s">
        <v>63</v>
      </c>
      <c r="D203" s="13" t="s">
        <v>56</v>
      </c>
      <c r="E203" s="15" t="s">
        <v>505</v>
      </c>
      <c r="F203" s="13" t="s">
        <v>212</v>
      </c>
      <c r="G203" s="13" t="s">
        <v>59</v>
      </c>
      <c r="H203" s="14" t="s">
        <v>506</v>
      </c>
      <c r="I203" s="4" t="s">
        <v>12</v>
      </c>
    </row>
    <row r="204" customFormat="false" ht="23.85" hidden="false" customHeight="false" outlineLevel="0" collapsed="false">
      <c r="A204" s="13" t="s">
        <v>811</v>
      </c>
      <c r="B204" s="14" t="s">
        <v>812</v>
      </c>
      <c r="C204" s="13" t="s">
        <v>63</v>
      </c>
      <c r="D204" s="13" t="s">
        <v>56</v>
      </c>
      <c r="E204" s="15" t="s">
        <v>813</v>
      </c>
      <c r="F204" s="13" t="s">
        <v>212</v>
      </c>
      <c r="G204" s="13" t="s">
        <v>59</v>
      </c>
      <c r="H204" s="14" t="s">
        <v>814</v>
      </c>
      <c r="I204" s="4" t="s">
        <v>1324</v>
      </c>
    </row>
    <row r="205" customFormat="false" ht="15" hidden="false" customHeight="false" outlineLevel="0" collapsed="false">
      <c r="A205" s="13" t="s">
        <v>507</v>
      </c>
      <c r="B205" s="14" t="s">
        <v>508</v>
      </c>
      <c r="C205" s="13" t="s">
        <v>74</v>
      </c>
      <c r="D205" s="13" t="s">
        <v>56</v>
      </c>
      <c r="E205" s="15" t="s">
        <v>509</v>
      </c>
      <c r="F205" s="13" t="s">
        <v>212</v>
      </c>
      <c r="G205" s="13" t="s">
        <v>59</v>
      </c>
      <c r="H205" s="14" t="s">
        <v>510</v>
      </c>
      <c r="I205" s="4" t="s">
        <v>1325</v>
      </c>
    </row>
    <row r="206" customFormat="false" ht="15" hidden="false" customHeight="false" outlineLevel="0" collapsed="false">
      <c r="A206" s="13" t="s">
        <v>256</v>
      </c>
      <c r="B206" s="14" t="s">
        <v>257</v>
      </c>
      <c r="C206" s="13" t="s">
        <v>68</v>
      </c>
      <c r="D206" s="13" t="s">
        <v>69</v>
      </c>
      <c r="E206" s="15" t="s">
        <v>258</v>
      </c>
      <c r="F206" s="13" t="s">
        <v>212</v>
      </c>
      <c r="G206" s="13" t="s">
        <v>59</v>
      </c>
      <c r="H206" s="14" t="s">
        <v>259</v>
      </c>
      <c r="I206" s="4" t="s">
        <v>10</v>
      </c>
    </row>
    <row r="207" customFormat="false" ht="23.85" hidden="false" customHeight="false" outlineLevel="0" collapsed="false">
      <c r="A207" s="13" t="s">
        <v>1058</v>
      </c>
      <c r="B207" s="14" t="s">
        <v>1059</v>
      </c>
      <c r="C207" s="13" t="s">
        <v>68</v>
      </c>
      <c r="D207" s="13" t="s">
        <v>438</v>
      </c>
      <c r="E207" s="15" t="s">
        <v>439</v>
      </c>
      <c r="F207" s="13" t="s">
        <v>212</v>
      </c>
      <c r="G207" s="13" t="s">
        <v>59</v>
      </c>
      <c r="H207" s="14" t="s">
        <v>1060</v>
      </c>
      <c r="I207" s="4" t="s">
        <v>17</v>
      </c>
    </row>
    <row r="208" customFormat="false" ht="23.85" hidden="false" customHeight="false" outlineLevel="0" collapsed="false">
      <c r="A208" s="13" t="s">
        <v>841</v>
      </c>
      <c r="B208" s="14" t="s">
        <v>842</v>
      </c>
      <c r="C208" s="13" t="s">
        <v>68</v>
      </c>
      <c r="D208" s="13" t="s">
        <v>471</v>
      </c>
      <c r="E208" s="15" t="s">
        <v>555</v>
      </c>
      <c r="F208" s="13" t="s">
        <v>271</v>
      </c>
      <c r="G208" s="13" t="s">
        <v>59</v>
      </c>
      <c r="H208" s="14" t="s">
        <v>843</v>
      </c>
      <c r="I208" s="4" t="s">
        <v>15</v>
      </c>
    </row>
    <row r="209" customFormat="false" ht="23.85" hidden="false" customHeight="false" outlineLevel="0" collapsed="false">
      <c r="A209" s="13" t="s">
        <v>730</v>
      </c>
      <c r="B209" s="14" t="s">
        <v>731</v>
      </c>
      <c r="C209" s="13" t="s">
        <v>68</v>
      </c>
      <c r="D209" s="13" t="s">
        <v>471</v>
      </c>
      <c r="E209" s="15" t="s">
        <v>555</v>
      </c>
      <c r="F209" s="13" t="s">
        <v>271</v>
      </c>
      <c r="G209" s="13" t="s">
        <v>59</v>
      </c>
      <c r="H209" s="14" t="s">
        <v>732</v>
      </c>
      <c r="I209" s="4" t="s">
        <v>14</v>
      </c>
    </row>
    <row r="210" customFormat="false" ht="15" hidden="false" customHeight="false" outlineLevel="0" collapsed="false">
      <c r="A210" s="13" t="s">
        <v>260</v>
      </c>
      <c r="B210" s="14" t="s">
        <v>261</v>
      </c>
      <c r="C210" s="13" t="s">
        <v>68</v>
      </c>
      <c r="D210" s="13" t="s">
        <v>69</v>
      </c>
      <c r="E210" s="15" t="s">
        <v>262</v>
      </c>
      <c r="F210" s="13" t="s">
        <v>212</v>
      </c>
      <c r="G210" s="13" t="s">
        <v>59</v>
      </c>
      <c r="H210" s="14" t="s">
        <v>263</v>
      </c>
      <c r="I210" s="4" t="s">
        <v>10</v>
      </c>
    </row>
    <row r="211" customFormat="false" ht="15" hidden="false" customHeight="false" outlineLevel="0" collapsed="false">
      <c r="A211" s="13" t="s">
        <v>432</v>
      </c>
      <c r="B211" s="14" t="s">
        <v>433</v>
      </c>
      <c r="C211" s="13" t="s">
        <v>68</v>
      </c>
      <c r="D211" s="13" t="s">
        <v>69</v>
      </c>
      <c r="E211" s="15" t="s">
        <v>434</v>
      </c>
      <c r="F211" s="13" t="s">
        <v>212</v>
      </c>
      <c r="G211" s="13" t="s">
        <v>59</v>
      </c>
      <c r="H211" s="14" t="s">
        <v>435</v>
      </c>
      <c r="I211" s="4" t="s">
        <v>11</v>
      </c>
    </row>
    <row r="212" customFormat="false" ht="15" hidden="false" customHeight="false" outlineLevel="0" collapsed="false">
      <c r="A212" s="13" t="s">
        <v>264</v>
      </c>
      <c r="B212" s="14" t="s">
        <v>265</v>
      </c>
      <c r="C212" s="13" t="s">
        <v>68</v>
      </c>
      <c r="D212" s="13" t="s">
        <v>69</v>
      </c>
      <c r="E212" s="15" t="s">
        <v>266</v>
      </c>
      <c r="F212" s="13" t="s">
        <v>212</v>
      </c>
      <c r="G212" s="13" t="s">
        <v>59</v>
      </c>
      <c r="H212" s="14" t="s">
        <v>267</v>
      </c>
      <c r="I212" s="4" t="s">
        <v>10</v>
      </c>
    </row>
    <row r="213" customFormat="false" ht="23.85" hidden="false" customHeight="false" outlineLevel="0" collapsed="false">
      <c r="A213" s="13" t="s">
        <v>733</v>
      </c>
      <c r="B213" s="14" t="s">
        <v>734</v>
      </c>
      <c r="C213" s="13" t="s">
        <v>735</v>
      </c>
      <c r="D213" s="13" t="s">
        <v>736</v>
      </c>
      <c r="E213" s="15" t="s">
        <v>737</v>
      </c>
      <c r="F213" s="13" t="s">
        <v>271</v>
      </c>
      <c r="G213" s="13" t="s">
        <v>90</v>
      </c>
      <c r="H213" s="14" t="s">
        <v>738</v>
      </c>
      <c r="I213" s="4" t="s">
        <v>14</v>
      </c>
    </row>
    <row r="214" customFormat="false" ht="23.85" hidden="false" customHeight="false" outlineLevel="0" collapsed="false">
      <c r="A214" s="13" t="s">
        <v>436</v>
      </c>
      <c r="B214" s="14" t="s">
        <v>437</v>
      </c>
      <c r="C214" s="13" t="s">
        <v>68</v>
      </c>
      <c r="D214" s="13" t="s">
        <v>438</v>
      </c>
      <c r="E214" s="15" t="s">
        <v>439</v>
      </c>
      <c r="F214" s="13" t="s">
        <v>271</v>
      </c>
      <c r="G214" s="13" t="s">
        <v>90</v>
      </c>
      <c r="H214" s="14" t="s">
        <v>440</v>
      </c>
      <c r="I214" s="4" t="s">
        <v>11</v>
      </c>
    </row>
    <row r="215" customFormat="false" ht="15" hidden="false" customHeight="false" outlineLevel="0" collapsed="false">
      <c r="A215" s="13" t="s">
        <v>1206</v>
      </c>
      <c r="B215" s="14" t="s">
        <v>1207</v>
      </c>
      <c r="C215" s="13" t="s">
        <v>68</v>
      </c>
      <c r="D215" s="13" t="s">
        <v>471</v>
      </c>
      <c r="E215" s="15" t="s">
        <v>555</v>
      </c>
      <c r="F215" s="13" t="s">
        <v>271</v>
      </c>
      <c r="G215" s="13" t="s">
        <v>90</v>
      </c>
      <c r="H215" s="14" t="s">
        <v>1208</v>
      </c>
      <c r="I215" s="4" t="s">
        <v>18</v>
      </c>
    </row>
    <row r="216" customFormat="false" ht="15" hidden="false" customHeight="false" outlineLevel="0" collapsed="false">
      <c r="A216" s="13" t="s">
        <v>553</v>
      </c>
      <c r="B216" s="14" t="s">
        <v>554</v>
      </c>
      <c r="C216" s="13" t="s">
        <v>68</v>
      </c>
      <c r="D216" s="13" t="s">
        <v>471</v>
      </c>
      <c r="E216" s="15" t="s">
        <v>555</v>
      </c>
      <c r="F216" s="13" t="s">
        <v>271</v>
      </c>
      <c r="G216" s="13" t="s">
        <v>90</v>
      </c>
      <c r="H216" s="14" t="s">
        <v>556</v>
      </c>
      <c r="I216" s="4" t="s">
        <v>12</v>
      </c>
    </row>
    <row r="217" customFormat="false" ht="23.85" hidden="false" customHeight="false" outlineLevel="0" collapsed="false">
      <c r="A217" s="13" t="s">
        <v>1162</v>
      </c>
      <c r="B217" s="14" t="s">
        <v>1163</v>
      </c>
      <c r="C217" s="13" t="s">
        <v>80</v>
      </c>
      <c r="D217" s="13" t="s">
        <v>75</v>
      </c>
      <c r="E217" s="15" t="s">
        <v>1164</v>
      </c>
      <c r="F217" s="13" t="s">
        <v>212</v>
      </c>
      <c r="G217" s="13" t="s">
        <v>90</v>
      </c>
      <c r="H217" s="14" t="s">
        <v>1165</v>
      </c>
      <c r="I217" s="4" t="s">
        <v>18</v>
      </c>
    </row>
    <row r="218" customFormat="false" ht="23.85" hidden="false" customHeight="false" outlineLevel="0" collapsed="false">
      <c r="A218" s="13" t="s">
        <v>701</v>
      </c>
      <c r="B218" s="14" t="s">
        <v>702</v>
      </c>
      <c r="C218" s="13" t="s">
        <v>80</v>
      </c>
      <c r="D218" s="13" t="s">
        <v>75</v>
      </c>
      <c r="E218" s="15" t="s">
        <v>703</v>
      </c>
      <c r="F218" s="13" t="s">
        <v>212</v>
      </c>
      <c r="G218" s="13" t="s">
        <v>90</v>
      </c>
      <c r="H218" s="14" t="s">
        <v>704</v>
      </c>
      <c r="I218" s="4" t="s">
        <v>1308</v>
      </c>
    </row>
    <row r="219" customFormat="false" ht="23.85" hidden="false" customHeight="false" outlineLevel="0" collapsed="false">
      <c r="A219" s="13" t="s">
        <v>378</v>
      </c>
      <c r="B219" s="14" t="s">
        <v>379</v>
      </c>
      <c r="C219" s="13" t="s">
        <v>80</v>
      </c>
      <c r="D219" s="13" t="s">
        <v>75</v>
      </c>
      <c r="E219" s="15" t="s">
        <v>380</v>
      </c>
      <c r="F219" s="13" t="s">
        <v>212</v>
      </c>
      <c r="G219" s="13" t="s">
        <v>90</v>
      </c>
      <c r="H219" s="14" t="s">
        <v>381</v>
      </c>
      <c r="I219" s="4" t="s">
        <v>11</v>
      </c>
    </row>
    <row r="220" customFormat="false" ht="15" hidden="false" customHeight="false" outlineLevel="0" collapsed="false">
      <c r="A220" s="13" t="s">
        <v>1021</v>
      </c>
      <c r="B220" s="14" t="s">
        <v>1022</v>
      </c>
      <c r="C220" s="13" t="s">
        <v>80</v>
      </c>
      <c r="D220" s="13" t="s">
        <v>75</v>
      </c>
      <c r="E220" s="15" t="s">
        <v>1023</v>
      </c>
      <c r="F220" s="13" t="s">
        <v>212</v>
      </c>
      <c r="G220" s="13" t="s">
        <v>90</v>
      </c>
      <c r="H220" s="14" t="s">
        <v>1024</v>
      </c>
      <c r="I220" s="4" t="s">
        <v>17</v>
      </c>
    </row>
    <row r="221" customFormat="false" ht="15" hidden="false" customHeight="false" outlineLevel="0" collapsed="false">
      <c r="A221" s="13" t="s">
        <v>1272</v>
      </c>
      <c r="B221" s="14" t="s">
        <v>1273</v>
      </c>
      <c r="C221" s="13" t="s">
        <v>80</v>
      </c>
      <c r="D221" s="13" t="s">
        <v>75</v>
      </c>
      <c r="E221" s="15" t="s">
        <v>1274</v>
      </c>
      <c r="F221" s="13" t="s">
        <v>212</v>
      </c>
      <c r="G221" s="13" t="s">
        <v>90</v>
      </c>
      <c r="H221" s="14" t="s">
        <v>1275</v>
      </c>
      <c r="I221" s="4" t="s">
        <v>19</v>
      </c>
    </row>
    <row r="222" customFormat="false" ht="23.85" hidden="false" customHeight="false" outlineLevel="0" collapsed="false">
      <c r="A222" s="13" t="s">
        <v>1025</v>
      </c>
      <c r="B222" s="14" t="s">
        <v>1026</v>
      </c>
      <c r="C222" s="13" t="s">
        <v>80</v>
      </c>
      <c r="D222" s="13" t="s">
        <v>75</v>
      </c>
      <c r="E222" s="15" t="s">
        <v>1027</v>
      </c>
      <c r="F222" s="13" t="s">
        <v>212</v>
      </c>
      <c r="G222" s="13" t="s">
        <v>90</v>
      </c>
      <c r="H222" s="14" t="s">
        <v>1028</v>
      </c>
      <c r="I222" s="4" t="s">
        <v>17</v>
      </c>
    </row>
    <row r="223" customFormat="false" ht="23.85" hidden="false" customHeight="false" outlineLevel="0" collapsed="false">
      <c r="A223" s="13" t="s">
        <v>608</v>
      </c>
      <c r="B223" s="14" t="s">
        <v>609</v>
      </c>
      <c r="C223" s="13" t="s">
        <v>63</v>
      </c>
      <c r="D223" s="13" t="s">
        <v>56</v>
      </c>
      <c r="E223" s="15" t="s">
        <v>610</v>
      </c>
      <c r="F223" s="13" t="s">
        <v>212</v>
      </c>
      <c r="G223" s="13" t="s">
        <v>90</v>
      </c>
      <c r="H223" s="14" t="s">
        <v>611</v>
      </c>
      <c r="I223" s="4" t="s">
        <v>1326</v>
      </c>
    </row>
    <row r="224" customFormat="false" ht="15" hidden="false" customHeight="false" outlineLevel="0" collapsed="false">
      <c r="A224" s="13" t="s">
        <v>223</v>
      </c>
      <c r="B224" s="14" t="s">
        <v>224</v>
      </c>
      <c r="C224" s="13" t="s">
        <v>80</v>
      </c>
      <c r="D224" s="13" t="s">
        <v>75</v>
      </c>
      <c r="E224" s="15" t="s">
        <v>225</v>
      </c>
      <c r="F224" s="13" t="s">
        <v>212</v>
      </c>
      <c r="G224" s="13" t="s">
        <v>90</v>
      </c>
      <c r="H224" s="14" t="s">
        <v>226</v>
      </c>
      <c r="I224" s="4" t="s">
        <v>10</v>
      </c>
    </row>
    <row r="225" customFormat="false" ht="15" hidden="false" customHeight="false" outlineLevel="0" collapsed="false">
      <c r="A225" s="13" t="s">
        <v>928</v>
      </c>
      <c r="B225" s="14" t="s">
        <v>929</v>
      </c>
      <c r="C225" s="13" t="s">
        <v>74</v>
      </c>
      <c r="D225" s="13" t="s">
        <v>56</v>
      </c>
      <c r="E225" s="15" t="s">
        <v>930</v>
      </c>
      <c r="F225" s="13" t="s">
        <v>212</v>
      </c>
      <c r="G225" s="13" t="s">
        <v>90</v>
      </c>
      <c r="H225" s="14" t="s">
        <v>931</v>
      </c>
      <c r="I225" s="4" t="s">
        <v>16</v>
      </c>
    </row>
    <row r="226" customFormat="false" ht="15" hidden="false" customHeight="false" outlineLevel="0" collapsed="false">
      <c r="A226" s="13" t="s">
        <v>512</v>
      </c>
      <c r="B226" s="14" t="s">
        <v>513</v>
      </c>
      <c r="C226" s="13" t="s">
        <v>74</v>
      </c>
      <c r="D226" s="13" t="s">
        <v>56</v>
      </c>
      <c r="E226" s="15" t="s">
        <v>514</v>
      </c>
      <c r="F226" s="13" t="s">
        <v>212</v>
      </c>
      <c r="G226" s="13" t="s">
        <v>90</v>
      </c>
      <c r="H226" s="14" t="s">
        <v>515</v>
      </c>
      <c r="I226" s="4" t="s">
        <v>1327</v>
      </c>
    </row>
    <row r="227" customFormat="false" ht="15" hidden="false" customHeight="false" outlineLevel="0" collapsed="false">
      <c r="A227" s="13" t="s">
        <v>705</v>
      </c>
      <c r="B227" s="14" t="s">
        <v>706</v>
      </c>
      <c r="C227" s="13" t="s">
        <v>74</v>
      </c>
      <c r="D227" s="13" t="s">
        <v>56</v>
      </c>
      <c r="E227" s="15" t="s">
        <v>707</v>
      </c>
      <c r="F227" s="13" t="s">
        <v>212</v>
      </c>
      <c r="G227" s="13" t="s">
        <v>90</v>
      </c>
      <c r="H227" s="14" t="s">
        <v>708</v>
      </c>
      <c r="I227" s="4" t="s">
        <v>1308</v>
      </c>
    </row>
    <row r="228" customFormat="false" ht="15" hidden="false" customHeight="false" outlineLevel="0" collapsed="false">
      <c r="A228" s="13" t="s">
        <v>227</v>
      </c>
      <c r="B228" s="14" t="s">
        <v>228</v>
      </c>
      <c r="C228" s="13" t="s">
        <v>74</v>
      </c>
      <c r="D228" s="13" t="s">
        <v>56</v>
      </c>
      <c r="E228" s="15" t="s">
        <v>229</v>
      </c>
      <c r="F228" s="13" t="s">
        <v>212</v>
      </c>
      <c r="G228" s="13" t="s">
        <v>90</v>
      </c>
      <c r="H228" s="14" t="s">
        <v>230</v>
      </c>
      <c r="I228" s="4" t="s">
        <v>10</v>
      </c>
    </row>
    <row r="229" customFormat="false" ht="15" hidden="false" customHeight="false" outlineLevel="0" collapsed="false">
      <c r="A229" s="13" t="s">
        <v>382</v>
      </c>
      <c r="B229" s="14" t="s">
        <v>383</v>
      </c>
      <c r="C229" s="13" t="s">
        <v>74</v>
      </c>
      <c r="D229" s="13" t="s">
        <v>56</v>
      </c>
      <c r="E229" s="15" t="s">
        <v>384</v>
      </c>
      <c r="F229" s="13" t="s">
        <v>212</v>
      </c>
      <c r="G229" s="13" t="s">
        <v>90</v>
      </c>
      <c r="H229" s="14" t="s">
        <v>385</v>
      </c>
      <c r="I229" s="4" t="s">
        <v>11</v>
      </c>
    </row>
    <row r="230" customFormat="false" ht="15" hidden="false" customHeight="false" outlineLevel="0" collapsed="false">
      <c r="A230" s="13" t="s">
        <v>516</v>
      </c>
      <c r="B230" s="14" t="s">
        <v>517</v>
      </c>
      <c r="C230" s="13" t="s">
        <v>74</v>
      </c>
      <c r="D230" s="13" t="s">
        <v>56</v>
      </c>
      <c r="E230" s="15" t="s">
        <v>518</v>
      </c>
      <c r="F230" s="13" t="s">
        <v>212</v>
      </c>
      <c r="G230" s="13" t="s">
        <v>90</v>
      </c>
      <c r="H230" s="14" t="s">
        <v>519</v>
      </c>
      <c r="I230" s="4" t="s">
        <v>12</v>
      </c>
    </row>
    <row r="231" customFormat="false" ht="15" hidden="false" customHeight="false" outlineLevel="0" collapsed="false">
      <c r="A231" s="13" t="s">
        <v>386</v>
      </c>
      <c r="B231" s="14" t="s">
        <v>387</v>
      </c>
      <c r="C231" s="13" t="s">
        <v>74</v>
      </c>
      <c r="D231" s="13" t="s">
        <v>56</v>
      </c>
      <c r="E231" s="15" t="s">
        <v>388</v>
      </c>
      <c r="F231" s="13" t="s">
        <v>212</v>
      </c>
      <c r="G231" s="13" t="s">
        <v>90</v>
      </c>
      <c r="H231" s="14" t="s">
        <v>389</v>
      </c>
      <c r="I231" s="4" t="s">
        <v>11</v>
      </c>
    </row>
    <row r="232" customFormat="false" ht="15" hidden="false" customHeight="false" outlineLevel="0" collapsed="false">
      <c r="A232" s="13" t="s">
        <v>1029</v>
      </c>
      <c r="B232" s="14" t="s">
        <v>1030</v>
      </c>
      <c r="C232" s="13" t="s">
        <v>74</v>
      </c>
      <c r="D232" s="13" t="s">
        <v>56</v>
      </c>
      <c r="E232" s="15" t="s">
        <v>1031</v>
      </c>
      <c r="F232" s="13" t="s">
        <v>212</v>
      </c>
      <c r="G232" s="13" t="s">
        <v>90</v>
      </c>
      <c r="H232" s="14" t="s">
        <v>1032</v>
      </c>
      <c r="I232" s="4" t="s">
        <v>17</v>
      </c>
    </row>
    <row r="233" customFormat="false" ht="15" hidden="false" customHeight="false" outlineLevel="0" collapsed="false">
      <c r="A233" s="13" t="s">
        <v>709</v>
      </c>
      <c r="B233" s="14" t="s">
        <v>710</v>
      </c>
      <c r="C233" s="13" t="s">
        <v>74</v>
      </c>
      <c r="D233" s="13" t="s">
        <v>56</v>
      </c>
      <c r="E233" s="15" t="s">
        <v>711</v>
      </c>
      <c r="F233" s="13" t="s">
        <v>212</v>
      </c>
      <c r="G233" s="13" t="s">
        <v>90</v>
      </c>
      <c r="H233" s="14" t="s">
        <v>712</v>
      </c>
      <c r="I233" s="4" t="s">
        <v>1328</v>
      </c>
    </row>
    <row r="234" customFormat="false" ht="15" hidden="false" customHeight="false" outlineLevel="0" collapsed="false">
      <c r="A234" s="13" t="s">
        <v>520</v>
      </c>
      <c r="B234" s="14" t="s">
        <v>521</v>
      </c>
      <c r="C234" s="13" t="s">
        <v>74</v>
      </c>
      <c r="D234" s="13" t="s">
        <v>56</v>
      </c>
      <c r="E234" s="15" t="s">
        <v>522</v>
      </c>
      <c r="F234" s="13" t="s">
        <v>212</v>
      </c>
      <c r="G234" s="13" t="s">
        <v>90</v>
      </c>
      <c r="H234" s="14" t="s">
        <v>523</v>
      </c>
      <c r="I234" s="4" t="s">
        <v>12</v>
      </c>
    </row>
    <row r="235" customFormat="false" ht="15" hidden="false" customHeight="false" outlineLevel="0" collapsed="false">
      <c r="A235" s="13" t="s">
        <v>231</v>
      </c>
      <c r="B235" s="14" t="s">
        <v>232</v>
      </c>
      <c r="C235" s="13" t="s">
        <v>74</v>
      </c>
      <c r="D235" s="13" t="s">
        <v>56</v>
      </c>
      <c r="E235" s="15" t="s">
        <v>233</v>
      </c>
      <c r="F235" s="13" t="s">
        <v>212</v>
      </c>
      <c r="G235" s="13" t="s">
        <v>90</v>
      </c>
      <c r="H235" s="14" t="s">
        <v>234</v>
      </c>
      <c r="I235" s="4" t="s">
        <v>10</v>
      </c>
    </row>
    <row r="236" customFormat="false" ht="15" hidden="false" customHeight="false" outlineLevel="0" collapsed="false">
      <c r="A236" s="13" t="s">
        <v>235</v>
      </c>
      <c r="B236" s="14" t="s">
        <v>236</v>
      </c>
      <c r="C236" s="13" t="s">
        <v>74</v>
      </c>
      <c r="D236" s="13" t="s">
        <v>56</v>
      </c>
      <c r="E236" s="15" t="s">
        <v>237</v>
      </c>
      <c r="F236" s="13" t="s">
        <v>212</v>
      </c>
      <c r="G236" s="13" t="s">
        <v>90</v>
      </c>
      <c r="H236" s="14" t="s">
        <v>238</v>
      </c>
      <c r="I236" s="4" t="s">
        <v>10</v>
      </c>
    </row>
    <row r="237" customFormat="false" ht="15" hidden="false" customHeight="false" outlineLevel="0" collapsed="false">
      <c r="A237" s="13" t="s">
        <v>239</v>
      </c>
      <c r="B237" s="14" t="s">
        <v>240</v>
      </c>
      <c r="C237" s="13" t="s">
        <v>74</v>
      </c>
      <c r="D237" s="13" t="s">
        <v>56</v>
      </c>
      <c r="E237" s="15" t="s">
        <v>241</v>
      </c>
      <c r="F237" s="13" t="s">
        <v>212</v>
      </c>
      <c r="G237" s="13" t="s">
        <v>90</v>
      </c>
      <c r="H237" s="14" t="s">
        <v>242</v>
      </c>
      <c r="I237" s="4" t="s">
        <v>10</v>
      </c>
    </row>
    <row r="238" customFormat="false" ht="15" hidden="false" customHeight="false" outlineLevel="0" collapsed="false">
      <c r="A238" s="13" t="s">
        <v>524</v>
      </c>
      <c r="B238" s="14" t="s">
        <v>525</v>
      </c>
      <c r="C238" s="13" t="s">
        <v>74</v>
      </c>
      <c r="D238" s="13" t="s">
        <v>56</v>
      </c>
      <c r="E238" s="15" t="s">
        <v>526</v>
      </c>
      <c r="F238" s="13" t="s">
        <v>212</v>
      </c>
      <c r="G238" s="13" t="s">
        <v>90</v>
      </c>
      <c r="H238" s="14" t="s">
        <v>527</v>
      </c>
      <c r="I238" s="4" t="s">
        <v>12</v>
      </c>
    </row>
    <row r="239" customFormat="false" ht="15" hidden="false" customHeight="false" outlineLevel="0" collapsed="false">
      <c r="A239" s="13" t="s">
        <v>1167</v>
      </c>
      <c r="B239" s="14" t="s">
        <v>1168</v>
      </c>
      <c r="C239" s="13" t="s">
        <v>74</v>
      </c>
      <c r="D239" s="13" t="s">
        <v>56</v>
      </c>
      <c r="E239" s="15" t="s">
        <v>1169</v>
      </c>
      <c r="F239" s="13" t="s">
        <v>212</v>
      </c>
      <c r="G239" s="13" t="s">
        <v>90</v>
      </c>
      <c r="H239" s="14" t="s">
        <v>1170</v>
      </c>
      <c r="I239" s="4" t="s">
        <v>18</v>
      </c>
    </row>
    <row r="240" customFormat="false" ht="15" hidden="false" customHeight="false" outlineLevel="0" collapsed="false">
      <c r="A240" s="13" t="s">
        <v>528</v>
      </c>
      <c r="B240" s="14" t="s">
        <v>529</v>
      </c>
      <c r="C240" s="13" t="s">
        <v>74</v>
      </c>
      <c r="D240" s="13" t="s">
        <v>56</v>
      </c>
      <c r="E240" s="15" t="s">
        <v>530</v>
      </c>
      <c r="F240" s="13" t="s">
        <v>212</v>
      </c>
      <c r="G240" s="13" t="s">
        <v>90</v>
      </c>
      <c r="H240" s="14" t="s">
        <v>531</v>
      </c>
      <c r="I240" s="4" t="s">
        <v>12</v>
      </c>
    </row>
    <row r="241" customFormat="false" ht="15" hidden="false" customHeight="false" outlineLevel="0" collapsed="false">
      <c r="A241" s="13" t="s">
        <v>390</v>
      </c>
      <c r="B241" s="14" t="s">
        <v>391</v>
      </c>
      <c r="C241" s="13" t="s">
        <v>74</v>
      </c>
      <c r="D241" s="13" t="s">
        <v>56</v>
      </c>
      <c r="E241" s="15" t="s">
        <v>392</v>
      </c>
      <c r="F241" s="13" t="s">
        <v>212</v>
      </c>
      <c r="G241" s="13" t="s">
        <v>90</v>
      </c>
      <c r="H241" s="14" t="s">
        <v>393</v>
      </c>
      <c r="I241" s="4" t="s">
        <v>11</v>
      </c>
    </row>
    <row r="242" customFormat="false" ht="15" hidden="false" customHeight="false" outlineLevel="0" collapsed="false">
      <c r="A242" s="13" t="s">
        <v>816</v>
      </c>
      <c r="B242" s="14" t="s">
        <v>817</v>
      </c>
      <c r="C242" s="13" t="s">
        <v>74</v>
      </c>
      <c r="D242" s="13" t="s">
        <v>56</v>
      </c>
      <c r="E242" s="15" t="s">
        <v>818</v>
      </c>
      <c r="F242" s="13" t="s">
        <v>212</v>
      </c>
      <c r="G242" s="13" t="s">
        <v>90</v>
      </c>
      <c r="H242" s="14" t="s">
        <v>819</v>
      </c>
      <c r="I242" s="4" t="s">
        <v>1324</v>
      </c>
    </row>
    <row r="243" customFormat="false" ht="15" hidden="false" customHeight="false" outlineLevel="0" collapsed="false">
      <c r="A243" s="13" t="s">
        <v>1033</v>
      </c>
      <c r="B243" s="14" t="s">
        <v>1034</v>
      </c>
      <c r="C243" s="13" t="s">
        <v>74</v>
      </c>
      <c r="D243" s="13" t="s">
        <v>56</v>
      </c>
      <c r="E243" s="15" t="s">
        <v>1035</v>
      </c>
      <c r="F243" s="13" t="s">
        <v>212</v>
      </c>
      <c r="G243" s="13" t="s">
        <v>90</v>
      </c>
      <c r="H243" s="14" t="s">
        <v>1036</v>
      </c>
      <c r="I243" s="4" t="s">
        <v>17</v>
      </c>
    </row>
    <row r="244" customFormat="false" ht="15" hidden="false" customHeight="false" outlineLevel="0" collapsed="false">
      <c r="A244" s="13" t="s">
        <v>394</v>
      </c>
      <c r="B244" s="14" t="s">
        <v>395</v>
      </c>
      <c r="C244" s="13" t="s">
        <v>74</v>
      </c>
      <c r="D244" s="13" t="s">
        <v>56</v>
      </c>
      <c r="E244" s="15" t="s">
        <v>396</v>
      </c>
      <c r="F244" s="13" t="s">
        <v>212</v>
      </c>
      <c r="G244" s="13" t="s">
        <v>90</v>
      </c>
      <c r="H244" s="14" t="s">
        <v>397</v>
      </c>
      <c r="I244" s="4" t="s">
        <v>11</v>
      </c>
    </row>
    <row r="245" customFormat="false" ht="15" hidden="false" customHeight="false" outlineLevel="0" collapsed="false">
      <c r="A245" s="13" t="s">
        <v>398</v>
      </c>
      <c r="B245" s="14" t="s">
        <v>399</v>
      </c>
      <c r="C245" s="13" t="s">
        <v>74</v>
      </c>
      <c r="D245" s="13" t="s">
        <v>56</v>
      </c>
      <c r="E245" s="15" t="s">
        <v>400</v>
      </c>
      <c r="F245" s="13" t="s">
        <v>212</v>
      </c>
      <c r="G245" s="13" t="s">
        <v>90</v>
      </c>
      <c r="H245" s="14" t="s">
        <v>401</v>
      </c>
      <c r="I245" s="4" t="s">
        <v>11</v>
      </c>
    </row>
    <row r="246" customFormat="false" ht="15" hidden="false" customHeight="false" outlineLevel="0" collapsed="false">
      <c r="A246" s="13" t="s">
        <v>1171</v>
      </c>
      <c r="B246" s="14" t="s">
        <v>1172</v>
      </c>
      <c r="C246" s="13" t="s">
        <v>74</v>
      </c>
      <c r="D246" s="13" t="s">
        <v>56</v>
      </c>
      <c r="E246" s="15" t="s">
        <v>1173</v>
      </c>
      <c r="F246" s="13" t="s">
        <v>212</v>
      </c>
      <c r="G246" s="13" t="s">
        <v>90</v>
      </c>
      <c r="H246" s="14" t="s">
        <v>1174</v>
      </c>
      <c r="I246" s="4" t="s">
        <v>18</v>
      </c>
    </row>
    <row r="247" customFormat="false" ht="15" hidden="false" customHeight="false" outlineLevel="0" collapsed="false">
      <c r="A247" s="13" t="s">
        <v>612</v>
      </c>
      <c r="B247" s="14" t="s">
        <v>613</v>
      </c>
      <c r="C247" s="13" t="s">
        <v>74</v>
      </c>
      <c r="D247" s="13" t="s">
        <v>56</v>
      </c>
      <c r="E247" s="15" t="s">
        <v>614</v>
      </c>
      <c r="F247" s="13" t="s">
        <v>212</v>
      </c>
      <c r="G247" s="13" t="s">
        <v>90</v>
      </c>
      <c r="H247" s="14" t="s">
        <v>615</v>
      </c>
      <c r="I247" s="4" t="s">
        <v>13</v>
      </c>
    </row>
    <row r="248" customFormat="false" ht="23.85" hidden="false" customHeight="false" outlineLevel="0" collapsed="false">
      <c r="A248" s="13" t="s">
        <v>1037</v>
      </c>
      <c r="B248" s="14" t="s">
        <v>1038</v>
      </c>
      <c r="C248" s="13" t="s">
        <v>74</v>
      </c>
      <c r="D248" s="13" t="s">
        <v>56</v>
      </c>
      <c r="E248" s="15" t="s">
        <v>1039</v>
      </c>
      <c r="F248" s="13" t="s">
        <v>212</v>
      </c>
      <c r="G248" s="13" t="s">
        <v>90</v>
      </c>
      <c r="H248" s="14" t="s">
        <v>1040</v>
      </c>
      <c r="I248" s="4" t="s">
        <v>17</v>
      </c>
    </row>
    <row r="249" customFormat="false" ht="15" hidden="false" customHeight="false" outlineLevel="0" collapsed="false">
      <c r="A249" s="13" t="s">
        <v>1175</v>
      </c>
      <c r="B249" s="14" t="s">
        <v>1176</v>
      </c>
      <c r="C249" s="13" t="s">
        <v>74</v>
      </c>
      <c r="D249" s="13" t="s">
        <v>56</v>
      </c>
      <c r="E249" s="15" t="s">
        <v>1177</v>
      </c>
      <c r="F249" s="13" t="s">
        <v>212</v>
      </c>
      <c r="G249" s="13" t="s">
        <v>90</v>
      </c>
      <c r="H249" s="14" t="s">
        <v>1178</v>
      </c>
      <c r="I249" s="4" t="s">
        <v>18</v>
      </c>
    </row>
    <row r="250" customFormat="false" ht="15" hidden="false" customHeight="false" outlineLevel="0" collapsed="false">
      <c r="A250" s="13" t="s">
        <v>934</v>
      </c>
      <c r="B250" s="14" t="s">
        <v>935</v>
      </c>
      <c r="C250" s="13" t="s">
        <v>74</v>
      </c>
      <c r="D250" s="13" t="s">
        <v>56</v>
      </c>
      <c r="E250" s="15" t="s">
        <v>936</v>
      </c>
      <c r="F250" s="13" t="s">
        <v>212</v>
      </c>
      <c r="G250" s="13" t="s">
        <v>90</v>
      </c>
      <c r="H250" s="14" t="s">
        <v>937</v>
      </c>
      <c r="I250" s="4" t="s">
        <v>16</v>
      </c>
    </row>
    <row r="251" customFormat="false" ht="15" hidden="false" customHeight="false" outlineLevel="0" collapsed="false">
      <c r="A251" s="13" t="s">
        <v>938</v>
      </c>
      <c r="B251" s="14" t="s">
        <v>939</v>
      </c>
      <c r="C251" s="13" t="s">
        <v>74</v>
      </c>
      <c r="D251" s="13" t="s">
        <v>56</v>
      </c>
      <c r="E251" s="15" t="s">
        <v>940</v>
      </c>
      <c r="F251" s="13" t="s">
        <v>212</v>
      </c>
      <c r="G251" s="13" t="s">
        <v>90</v>
      </c>
      <c r="H251" s="14" t="s">
        <v>941</v>
      </c>
      <c r="I251" s="4" t="s">
        <v>16</v>
      </c>
    </row>
    <row r="252" customFormat="false" ht="15" hidden="false" customHeight="false" outlineLevel="0" collapsed="false">
      <c r="A252" s="13" t="s">
        <v>1179</v>
      </c>
      <c r="B252" s="14" t="s">
        <v>1180</v>
      </c>
      <c r="C252" s="13" t="s">
        <v>74</v>
      </c>
      <c r="D252" s="13" t="s">
        <v>56</v>
      </c>
      <c r="E252" s="15" t="s">
        <v>1181</v>
      </c>
      <c r="F252" s="13" t="s">
        <v>212</v>
      </c>
      <c r="G252" s="13" t="s">
        <v>90</v>
      </c>
      <c r="H252" s="14" t="s">
        <v>1182</v>
      </c>
      <c r="I252" s="4" t="s">
        <v>18</v>
      </c>
    </row>
    <row r="253" customFormat="false" ht="15" hidden="false" customHeight="false" outlineLevel="0" collapsed="false">
      <c r="A253" s="13" t="s">
        <v>243</v>
      </c>
      <c r="B253" s="14" t="s">
        <v>244</v>
      </c>
      <c r="C253" s="13" t="s">
        <v>74</v>
      </c>
      <c r="D253" s="13" t="s">
        <v>56</v>
      </c>
      <c r="E253" s="15" t="s">
        <v>245</v>
      </c>
      <c r="F253" s="13" t="s">
        <v>212</v>
      </c>
      <c r="G253" s="13" t="s">
        <v>90</v>
      </c>
      <c r="H253" s="14" t="s">
        <v>246</v>
      </c>
      <c r="I253" s="4" t="s">
        <v>10</v>
      </c>
    </row>
    <row r="254" customFormat="false" ht="15" hidden="false" customHeight="false" outlineLevel="0" collapsed="false">
      <c r="A254" s="13" t="s">
        <v>247</v>
      </c>
      <c r="B254" s="14" t="s">
        <v>248</v>
      </c>
      <c r="C254" s="13" t="s">
        <v>74</v>
      </c>
      <c r="D254" s="13" t="s">
        <v>56</v>
      </c>
      <c r="E254" s="15" t="s">
        <v>249</v>
      </c>
      <c r="F254" s="13" t="s">
        <v>212</v>
      </c>
      <c r="G254" s="13" t="s">
        <v>90</v>
      </c>
      <c r="H254" s="14" t="s">
        <v>250</v>
      </c>
      <c r="I254" s="4" t="s">
        <v>10</v>
      </c>
    </row>
    <row r="255" customFormat="false" ht="15" hidden="false" customHeight="false" outlineLevel="0" collapsed="false">
      <c r="A255" s="13" t="s">
        <v>402</v>
      </c>
      <c r="B255" s="14" t="s">
        <v>403</v>
      </c>
      <c r="C255" s="13" t="s">
        <v>74</v>
      </c>
      <c r="D255" s="13" t="s">
        <v>56</v>
      </c>
      <c r="E255" s="15" t="s">
        <v>404</v>
      </c>
      <c r="F255" s="13" t="s">
        <v>212</v>
      </c>
      <c r="G255" s="13" t="s">
        <v>90</v>
      </c>
      <c r="H255" s="14" t="s">
        <v>405</v>
      </c>
      <c r="I255" s="4" t="s">
        <v>11</v>
      </c>
    </row>
    <row r="256" customFormat="false" ht="15" hidden="false" customHeight="false" outlineLevel="0" collapsed="false">
      <c r="A256" s="13" t="s">
        <v>532</v>
      </c>
      <c r="B256" s="14" t="s">
        <v>533</v>
      </c>
      <c r="C256" s="13" t="s">
        <v>74</v>
      </c>
      <c r="D256" s="13" t="s">
        <v>56</v>
      </c>
      <c r="E256" s="15" t="s">
        <v>534</v>
      </c>
      <c r="F256" s="13" t="s">
        <v>212</v>
      </c>
      <c r="G256" s="13" t="s">
        <v>90</v>
      </c>
      <c r="H256" s="14" t="s">
        <v>535</v>
      </c>
      <c r="I256" s="4" t="s">
        <v>12</v>
      </c>
    </row>
    <row r="257" customFormat="false" ht="15" hidden="false" customHeight="false" outlineLevel="0" collapsed="false">
      <c r="A257" s="13" t="s">
        <v>820</v>
      </c>
      <c r="B257" s="14" t="s">
        <v>821</v>
      </c>
      <c r="C257" s="13" t="s">
        <v>74</v>
      </c>
      <c r="D257" s="13" t="s">
        <v>56</v>
      </c>
      <c r="E257" s="15" t="s">
        <v>822</v>
      </c>
      <c r="F257" s="13" t="s">
        <v>212</v>
      </c>
      <c r="G257" s="13" t="s">
        <v>90</v>
      </c>
      <c r="H257" s="14" t="s">
        <v>823</v>
      </c>
      <c r="I257" s="4" t="s">
        <v>15</v>
      </c>
    </row>
    <row r="258" customFormat="false" ht="15" hidden="false" customHeight="false" outlineLevel="0" collapsed="false">
      <c r="A258" s="13" t="s">
        <v>1183</v>
      </c>
      <c r="B258" s="14" t="s">
        <v>1184</v>
      </c>
      <c r="C258" s="13" t="s">
        <v>74</v>
      </c>
      <c r="D258" s="13" t="s">
        <v>56</v>
      </c>
      <c r="E258" s="15" t="s">
        <v>1185</v>
      </c>
      <c r="F258" s="13" t="s">
        <v>212</v>
      </c>
      <c r="G258" s="13" t="s">
        <v>90</v>
      </c>
      <c r="H258" s="14" t="s">
        <v>1186</v>
      </c>
      <c r="I258" s="4" t="s">
        <v>18</v>
      </c>
    </row>
    <row r="259" customFormat="false" ht="15" hidden="false" customHeight="false" outlineLevel="0" collapsed="false">
      <c r="A259" s="13" t="s">
        <v>824</v>
      </c>
      <c r="B259" s="14" t="s">
        <v>825</v>
      </c>
      <c r="C259" s="13" t="s">
        <v>74</v>
      </c>
      <c r="D259" s="13" t="s">
        <v>56</v>
      </c>
      <c r="E259" s="15" t="s">
        <v>826</v>
      </c>
      <c r="F259" s="13" t="s">
        <v>212</v>
      </c>
      <c r="G259" s="13" t="s">
        <v>90</v>
      </c>
      <c r="H259" s="14" t="s">
        <v>827</v>
      </c>
      <c r="I259" s="4" t="s">
        <v>15</v>
      </c>
    </row>
    <row r="260" customFormat="false" ht="15" hidden="false" customHeight="false" outlineLevel="0" collapsed="false">
      <c r="A260" s="13" t="s">
        <v>406</v>
      </c>
      <c r="B260" s="14" t="s">
        <v>407</v>
      </c>
      <c r="C260" s="13" t="s">
        <v>74</v>
      </c>
      <c r="D260" s="13" t="s">
        <v>56</v>
      </c>
      <c r="E260" s="15" t="s">
        <v>408</v>
      </c>
      <c r="F260" s="13" t="s">
        <v>212</v>
      </c>
      <c r="G260" s="13" t="s">
        <v>90</v>
      </c>
      <c r="H260" s="14" t="s">
        <v>409</v>
      </c>
      <c r="I260" s="4" t="s">
        <v>11</v>
      </c>
    </row>
    <row r="261" customFormat="false" ht="23.85" hidden="false" customHeight="false" outlineLevel="0" collapsed="false">
      <c r="A261" s="13" t="s">
        <v>410</v>
      </c>
      <c r="B261" s="14" t="s">
        <v>411</v>
      </c>
      <c r="C261" s="13" t="s">
        <v>412</v>
      </c>
      <c r="D261" s="13" t="s">
        <v>75</v>
      </c>
      <c r="E261" s="15" t="s">
        <v>413</v>
      </c>
      <c r="F261" s="13" t="s">
        <v>271</v>
      </c>
      <c r="G261" s="13" t="s">
        <v>90</v>
      </c>
      <c r="H261" s="14" t="s">
        <v>414</v>
      </c>
      <c r="I261" s="4" t="s">
        <v>11</v>
      </c>
    </row>
    <row r="262" customFormat="false" ht="23.85" hidden="false" customHeight="false" outlineLevel="0" collapsed="false">
      <c r="A262" s="13" t="s">
        <v>955</v>
      </c>
      <c r="B262" s="14" t="s">
        <v>956</v>
      </c>
      <c r="C262" s="13" t="s">
        <v>68</v>
      </c>
      <c r="D262" s="13" t="s">
        <v>69</v>
      </c>
      <c r="E262" s="15" t="s">
        <v>957</v>
      </c>
      <c r="F262" s="13" t="s">
        <v>212</v>
      </c>
      <c r="G262" s="13" t="s">
        <v>90</v>
      </c>
      <c r="H262" s="14" t="s">
        <v>958</v>
      </c>
      <c r="I262" s="4" t="s">
        <v>16</v>
      </c>
    </row>
    <row r="263" customFormat="false" ht="23.85" hidden="false" customHeight="false" outlineLevel="0" collapsed="false">
      <c r="A263" s="13" t="s">
        <v>959</v>
      </c>
      <c r="B263" s="14" t="s">
        <v>960</v>
      </c>
      <c r="C263" s="13" t="s">
        <v>68</v>
      </c>
      <c r="D263" s="13" t="s">
        <v>69</v>
      </c>
      <c r="E263" s="15" t="s">
        <v>961</v>
      </c>
      <c r="F263" s="13" t="s">
        <v>271</v>
      </c>
      <c r="G263" s="13" t="s">
        <v>90</v>
      </c>
      <c r="H263" s="14" t="s">
        <v>962</v>
      </c>
      <c r="I263" s="4" t="s">
        <v>16</v>
      </c>
    </row>
    <row r="264" customFormat="false" ht="23.85" hidden="false" customHeight="false" outlineLevel="0" collapsed="false">
      <c r="A264" s="13" t="s">
        <v>963</v>
      </c>
      <c r="B264" s="14" t="s">
        <v>964</v>
      </c>
      <c r="C264" s="13" t="s">
        <v>68</v>
      </c>
      <c r="D264" s="13" t="s">
        <v>69</v>
      </c>
      <c r="E264" s="15" t="s">
        <v>965</v>
      </c>
      <c r="F264" s="13" t="s">
        <v>212</v>
      </c>
      <c r="G264" s="13" t="s">
        <v>90</v>
      </c>
      <c r="H264" s="14" t="s">
        <v>966</v>
      </c>
      <c r="I264" s="4" t="s">
        <v>16</v>
      </c>
    </row>
    <row r="265" customFormat="false" ht="15" hidden="false" customHeight="false" outlineLevel="0" collapsed="false">
      <c r="A265" s="13" t="s">
        <v>268</v>
      </c>
      <c r="B265" s="14" t="s">
        <v>269</v>
      </c>
      <c r="C265" s="13" t="s">
        <v>68</v>
      </c>
      <c r="D265" s="13" t="s">
        <v>69</v>
      </c>
      <c r="E265" s="15" t="s">
        <v>270</v>
      </c>
      <c r="F265" s="13" t="s">
        <v>271</v>
      </c>
      <c r="G265" s="13" t="s">
        <v>90</v>
      </c>
      <c r="H265" s="14" t="s">
        <v>272</v>
      </c>
      <c r="I265" s="4" t="s">
        <v>10</v>
      </c>
    </row>
    <row r="266" customFormat="false" ht="23.85" hidden="false" customHeight="false" outlineLevel="0" collapsed="false">
      <c r="A266" s="13" t="s">
        <v>1289</v>
      </c>
      <c r="B266" s="14" t="s">
        <v>1290</v>
      </c>
      <c r="C266" s="13" t="s">
        <v>68</v>
      </c>
      <c r="D266" s="13" t="s">
        <v>69</v>
      </c>
      <c r="E266" s="15" t="s">
        <v>1291</v>
      </c>
      <c r="F266" s="13" t="s">
        <v>212</v>
      </c>
      <c r="G266" s="13" t="s">
        <v>90</v>
      </c>
      <c r="H266" s="14" t="s">
        <v>1292</v>
      </c>
      <c r="I266" s="4" t="s">
        <v>19</v>
      </c>
    </row>
    <row r="267" customFormat="false" ht="23.85" hidden="false" customHeight="false" outlineLevel="0" collapsed="false">
      <c r="A267" s="13" t="s">
        <v>1293</v>
      </c>
      <c r="B267" s="14" t="s">
        <v>1294</v>
      </c>
      <c r="C267" s="13" t="s">
        <v>68</v>
      </c>
      <c r="D267" s="13" t="s">
        <v>69</v>
      </c>
      <c r="E267" s="15" t="s">
        <v>1295</v>
      </c>
      <c r="F267" s="13" t="s">
        <v>271</v>
      </c>
      <c r="G267" s="13" t="s">
        <v>90</v>
      </c>
      <c r="H267" s="14" t="s">
        <v>1296</v>
      </c>
      <c r="I267" s="4" t="s">
        <v>19</v>
      </c>
    </row>
    <row r="268" customFormat="false" ht="23.85" hidden="false" customHeight="false" outlineLevel="0" collapsed="false">
      <c r="A268" s="13" t="s">
        <v>273</v>
      </c>
      <c r="B268" s="14" t="s">
        <v>274</v>
      </c>
      <c r="C268" s="13" t="s">
        <v>68</v>
      </c>
      <c r="D268" s="13" t="s">
        <v>69</v>
      </c>
      <c r="E268" s="15" t="s">
        <v>275</v>
      </c>
      <c r="F268" s="13" t="s">
        <v>212</v>
      </c>
      <c r="G268" s="13" t="s">
        <v>90</v>
      </c>
      <c r="H268" s="14" t="s">
        <v>276</v>
      </c>
      <c r="I268" s="4" t="s">
        <v>10</v>
      </c>
    </row>
    <row r="269" customFormat="false" ht="23.85" hidden="false" customHeight="false" outlineLevel="0" collapsed="false">
      <c r="A269" s="13" t="s">
        <v>557</v>
      </c>
      <c r="B269" s="14" t="s">
        <v>558</v>
      </c>
      <c r="C269" s="13" t="s">
        <v>68</v>
      </c>
      <c r="D269" s="13" t="s">
        <v>69</v>
      </c>
      <c r="E269" s="15" t="s">
        <v>559</v>
      </c>
      <c r="F269" s="13" t="s">
        <v>212</v>
      </c>
      <c r="G269" s="13" t="s">
        <v>90</v>
      </c>
      <c r="H269" s="14" t="s">
        <v>560</v>
      </c>
      <c r="I269" s="4" t="s">
        <v>12</v>
      </c>
    </row>
    <row r="270" customFormat="false" ht="15" hidden="false" customHeight="false" outlineLevel="0" collapsed="false">
      <c r="A270" s="13" t="s">
        <v>1209</v>
      </c>
      <c r="B270" s="14" t="s">
        <v>1210</v>
      </c>
      <c r="C270" s="13" t="s">
        <v>68</v>
      </c>
      <c r="D270" s="13" t="s">
        <v>69</v>
      </c>
      <c r="E270" s="15" t="s">
        <v>1211</v>
      </c>
      <c r="F270" s="13" t="s">
        <v>212</v>
      </c>
      <c r="G270" s="13" t="s">
        <v>90</v>
      </c>
      <c r="H270" s="14" t="s">
        <v>1212</v>
      </c>
      <c r="I270" s="4" t="s">
        <v>18</v>
      </c>
    </row>
    <row r="271" customFormat="false" ht="23.85" hidden="false" customHeight="false" outlineLevel="0" collapsed="false">
      <c r="A271" s="13" t="s">
        <v>561</v>
      </c>
      <c r="B271" s="14" t="s">
        <v>562</v>
      </c>
      <c r="C271" s="13" t="s">
        <v>68</v>
      </c>
      <c r="D271" s="13" t="s">
        <v>69</v>
      </c>
      <c r="E271" s="15" t="s">
        <v>563</v>
      </c>
      <c r="F271" s="13" t="s">
        <v>212</v>
      </c>
      <c r="G271" s="13" t="s">
        <v>90</v>
      </c>
      <c r="H271" s="14" t="s">
        <v>564</v>
      </c>
      <c r="I271" s="4" t="s">
        <v>12</v>
      </c>
    </row>
    <row r="272" customFormat="false" ht="15" hidden="false" customHeight="false" outlineLevel="0" collapsed="false">
      <c r="A272" s="13" t="s">
        <v>625</v>
      </c>
      <c r="B272" s="14" t="s">
        <v>626</v>
      </c>
      <c r="C272" s="13" t="s">
        <v>68</v>
      </c>
      <c r="D272" s="13" t="s">
        <v>69</v>
      </c>
      <c r="E272" s="15" t="s">
        <v>627</v>
      </c>
      <c r="F272" s="13" t="s">
        <v>212</v>
      </c>
      <c r="G272" s="13" t="s">
        <v>90</v>
      </c>
      <c r="H272" s="14" t="s">
        <v>628</v>
      </c>
      <c r="I272" s="4" t="s">
        <v>13</v>
      </c>
    </row>
    <row r="273" customFormat="false" ht="15" hidden="false" customHeight="false" outlineLevel="0" collapsed="false">
      <c r="A273" s="13" t="s">
        <v>1061</v>
      </c>
      <c r="B273" s="14" t="s">
        <v>1062</v>
      </c>
      <c r="C273" s="13" t="s">
        <v>68</v>
      </c>
      <c r="D273" s="13" t="s">
        <v>69</v>
      </c>
      <c r="E273" s="15" t="s">
        <v>1063</v>
      </c>
      <c r="F273" s="13" t="s">
        <v>212</v>
      </c>
      <c r="G273" s="13" t="s">
        <v>90</v>
      </c>
      <c r="H273" s="14" t="s">
        <v>1064</v>
      </c>
      <c r="I273" s="4" t="s">
        <v>17</v>
      </c>
    </row>
    <row r="274" customFormat="false" ht="23.85" hidden="false" customHeight="false" outlineLevel="0" collapsed="false">
      <c r="A274" s="13" t="s">
        <v>629</v>
      </c>
      <c r="B274" s="14" t="s">
        <v>630</v>
      </c>
      <c r="C274" s="13" t="s">
        <v>68</v>
      </c>
      <c r="D274" s="13" t="s">
        <v>69</v>
      </c>
      <c r="E274" s="15" t="s">
        <v>631</v>
      </c>
      <c r="F274" s="13" t="s">
        <v>212</v>
      </c>
      <c r="G274" s="13" t="s">
        <v>90</v>
      </c>
      <c r="H274" s="14" t="s">
        <v>632</v>
      </c>
      <c r="I274" s="4" t="s">
        <v>13</v>
      </c>
    </row>
    <row r="275" customFormat="false" ht="23.85" hidden="false" customHeight="false" outlineLevel="0" collapsed="false">
      <c r="A275" s="13" t="s">
        <v>277</v>
      </c>
      <c r="B275" s="14" t="s">
        <v>278</v>
      </c>
      <c r="C275" s="13" t="s">
        <v>68</v>
      </c>
      <c r="D275" s="13" t="s">
        <v>69</v>
      </c>
      <c r="E275" s="15" t="s">
        <v>279</v>
      </c>
      <c r="F275" s="13" t="s">
        <v>212</v>
      </c>
      <c r="G275" s="13" t="s">
        <v>90</v>
      </c>
      <c r="H275" s="14" t="s">
        <v>280</v>
      </c>
      <c r="I275" s="4" t="s">
        <v>10</v>
      </c>
    </row>
    <row r="276" customFormat="false" ht="15" hidden="false" customHeight="false" outlineLevel="0" collapsed="false">
      <c r="A276" s="13" t="s">
        <v>967</v>
      </c>
      <c r="B276" s="14" t="s">
        <v>968</v>
      </c>
      <c r="C276" s="13" t="s">
        <v>68</v>
      </c>
      <c r="D276" s="13" t="s">
        <v>69</v>
      </c>
      <c r="E276" s="15" t="s">
        <v>969</v>
      </c>
      <c r="F276" s="13" t="s">
        <v>212</v>
      </c>
      <c r="G276" s="13" t="s">
        <v>90</v>
      </c>
      <c r="H276" s="14" t="s">
        <v>970</v>
      </c>
      <c r="I276" s="4" t="s">
        <v>16</v>
      </c>
    </row>
    <row r="277" customFormat="false" ht="23.85" hidden="false" customHeight="false" outlineLevel="0" collapsed="false">
      <c r="A277" s="13" t="s">
        <v>281</v>
      </c>
      <c r="B277" s="14" t="s">
        <v>282</v>
      </c>
      <c r="C277" s="13" t="s">
        <v>68</v>
      </c>
      <c r="D277" s="13" t="s">
        <v>69</v>
      </c>
      <c r="E277" s="15" t="s">
        <v>283</v>
      </c>
      <c r="F277" s="13" t="s">
        <v>212</v>
      </c>
      <c r="G277" s="13" t="s">
        <v>90</v>
      </c>
      <c r="H277" s="14" t="s">
        <v>284</v>
      </c>
      <c r="I277" s="4" t="s">
        <v>1323</v>
      </c>
    </row>
    <row r="278" customFormat="false" ht="23.85" hidden="false" customHeight="false" outlineLevel="0" collapsed="false">
      <c r="A278" s="13" t="s">
        <v>565</v>
      </c>
      <c r="B278" s="14" t="s">
        <v>566</v>
      </c>
      <c r="C278" s="13" t="s">
        <v>68</v>
      </c>
      <c r="D278" s="13" t="s">
        <v>69</v>
      </c>
      <c r="E278" s="15" t="s">
        <v>567</v>
      </c>
      <c r="F278" s="13" t="s">
        <v>271</v>
      </c>
      <c r="G278" s="13" t="s">
        <v>90</v>
      </c>
      <c r="H278" s="14" t="s">
        <v>568</v>
      </c>
      <c r="I278" s="4" t="s">
        <v>12</v>
      </c>
    </row>
    <row r="279" customFormat="false" ht="23.85" hidden="false" customHeight="false" outlineLevel="0" collapsed="false">
      <c r="A279" s="13" t="s">
        <v>1213</v>
      </c>
      <c r="B279" s="14" t="s">
        <v>1214</v>
      </c>
      <c r="C279" s="13" t="s">
        <v>68</v>
      </c>
      <c r="D279" s="13" t="s">
        <v>69</v>
      </c>
      <c r="E279" s="15" t="s">
        <v>1215</v>
      </c>
      <c r="F279" s="13" t="s">
        <v>212</v>
      </c>
      <c r="G279" s="13" t="s">
        <v>90</v>
      </c>
      <c r="H279" s="14" t="s">
        <v>1216</v>
      </c>
      <c r="I279" s="4" t="s">
        <v>18</v>
      </c>
    </row>
    <row r="280" customFormat="false" ht="23.85" hidden="false" customHeight="false" outlineLevel="0" collapsed="false">
      <c r="A280" s="13" t="s">
        <v>441</v>
      </c>
      <c r="B280" s="14" t="s">
        <v>442</v>
      </c>
      <c r="C280" s="13" t="s">
        <v>68</v>
      </c>
      <c r="D280" s="13" t="s">
        <v>69</v>
      </c>
      <c r="E280" s="15" t="s">
        <v>443</v>
      </c>
      <c r="F280" s="13" t="s">
        <v>212</v>
      </c>
      <c r="G280" s="13" t="s">
        <v>90</v>
      </c>
      <c r="H280" s="14" t="s">
        <v>444</v>
      </c>
      <c r="I280" s="4" t="s">
        <v>11</v>
      </c>
    </row>
    <row r="281" customFormat="false" ht="23.85" hidden="false" customHeight="false" outlineLevel="0" collapsed="false">
      <c r="A281" s="13" t="s">
        <v>1065</v>
      </c>
      <c r="B281" s="14" t="s">
        <v>1066</v>
      </c>
      <c r="C281" s="13" t="s">
        <v>68</v>
      </c>
      <c r="D281" s="13" t="s">
        <v>69</v>
      </c>
      <c r="E281" s="15" t="s">
        <v>1067</v>
      </c>
      <c r="F281" s="13" t="s">
        <v>212</v>
      </c>
      <c r="G281" s="13" t="s">
        <v>90</v>
      </c>
      <c r="H281" s="14" t="s">
        <v>1068</v>
      </c>
      <c r="I281" s="4" t="s">
        <v>17</v>
      </c>
    </row>
    <row r="282" customFormat="false" ht="23.85" hidden="false" customHeight="false" outlineLevel="0" collapsed="false">
      <c r="A282" s="13" t="s">
        <v>445</v>
      </c>
      <c r="B282" s="14" t="s">
        <v>446</v>
      </c>
      <c r="C282" s="13" t="s">
        <v>68</v>
      </c>
      <c r="D282" s="13" t="s">
        <v>69</v>
      </c>
      <c r="E282" s="15" t="s">
        <v>447</v>
      </c>
      <c r="F282" s="13" t="s">
        <v>271</v>
      </c>
      <c r="G282" s="13" t="s">
        <v>90</v>
      </c>
      <c r="H282" s="14" t="s">
        <v>448</v>
      </c>
      <c r="I282" s="4" t="s">
        <v>11</v>
      </c>
    </row>
    <row r="283" customFormat="false" ht="23.85" hidden="false" customHeight="false" outlineLevel="0" collapsed="false">
      <c r="A283" s="13" t="s">
        <v>449</v>
      </c>
      <c r="B283" s="14" t="s">
        <v>450</v>
      </c>
      <c r="C283" s="13" t="s">
        <v>68</v>
      </c>
      <c r="D283" s="13" t="s">
        <v>69</v>
      </c>
      <c r="E283" s="15" t="s">
        <v>451</v>
      </c>
      <c r="F283" s="13" t="s">
        <v>212</v>
      </c>
      <c r="G283" s="13" t="s">
        <v>90</v>
      </c>
      <c r="H283" s="14" t="s">
        <v>452</v>
      </c>
      <c r="I283" s="4" t="s">
        <v>11</v>
      </c>
    </row>
    <row r="284" customFormat="false" ht="15" hidden="false" customHeight="false" outlineLevel="0" collapsed="false">
      <c r="A284" s="13" t="s">
        <v>285</v>
      </c>
      <c r="B284" s="14" t="s">
        <v>286</v>
      </c>
      <c r="C284" s="13" t="s">
        <v>68</v>
      </c>
      <c r="D284" s="13" t="s">
        <v>69</v>
      </c>
      <c r="E284" s="15" t="s">
        <v>287</v>
      </c>
      <c r="F284" s="13" t="s">
        <v>212</v>
      </c>
      <c r="G284" s="13" t="s">
        <v>90</v>
      </c>
      <c r="H284" s="14" t="s">
        <v>288</v>
      </c>
      <c r="I284" s="4" t="s">
        <v>10</v>
      </c>
    </row>
    <row r="285" customFormat="false" ht="23.85" hidden="false" customHeight="false" outlineLevel="0" collapsed="false">
      <c r="A285" s="13" t="s">
        <v>453</v>
      </c>
      <c r="B285" s="14" t="s">
        <v>454</v>
      </c>
      <c r="C285" s="13" t="s">
        <v>68</v>
      </c>
      <c r="D285" s="13" t="s">
        <v>69</v>
      </c>
      <c r="E285" s="15" t="s">
        <v>455</v>
      </c>
      <c r="F285" s="13" t="s">
        <v>212</v>
      </c>
      <c r="G285" s="13" t="s">
        <v>90</v>
      </c>
      <c r="H285" s="14" t="s">
        <v>456</v>
      </c>
      <c r="I285" s="4" t="s">
        <v>11</v>
      </c>
    </row>
    <row r="286" customFormat="false" ht="15" hidden="false" customHeight="false" outlineLevel="0" collapsed="false">
      <c r="A286" s="13" t="s">
        <v>289</v>
      </c>
      <c r="B286" s="14" t="s">
        <v>290</v>
      </c>
      <c r="C286" s="13" t="s">
        <v>68</v>
      </c>
      <c r="D286" s="13" t="s">
        <v>69</v>
      </c>
      <c r="E286" s="15" t="s">
        <v>291</v>
      </c>
      <c r="F286" s="13" t="s">
        <v>212</v>
      </c>
      <c r="G286" s="13" t="s">
        <v>90</v>
      </c>
      <c r="H286" s="14" t="s">
        <v>288</v>
      </c>
      <c r="I286" s="4" t="s">
        <v>10</v>
      </c>
    </row>
    <row r="287" customFormat="false" ht="23.85" hidden="false" customHeight="false" outlineLevel="0" collapsed="false">
      <c r="A287" s="13" t="s">
        <v>1217</v>
      </c>
      <c r="B287" s="14" t="s">
        <v>1218</v>
      </c>
      <c r="C287" s="13" t="s">
        <v>68</v>
      </c>
      <c r="D287" s="13" t="s">
        <v>69</v>
      </c>
      <c r="E287" s="15" t="s">
        <v>1219</v>
      </c>
      <c r="F287" s="13" t="s">
        <v>212</v>
      </c>
      <c r="G287" s="13" t="s">
        <v>90</v>
      </c>
      <c r="H287" s="14" t="s">
        <v>1220</v>
      </c>
      <c r="I287" s="4" t="s">
        <v>18</v>
      </c>
    </row>
    <row r="288" customFormat="false" ht="23.85" hidden="false" customHeight="false" outlineLevel="0" collapsed="false">
      <c r="A288" s="13" t="s">
        <v>1221</v>
      </c>
      <c r="B288" s="14" t="s">
        <v>1222</v>
      </c>
      <c r="C288" s="13" t="s">
        <v>68</v>
      </c>
      <c r="D288" s="13" t="s">
        <v>69</v>
      </c>
      <c r="E288" s="15" t="s">
        <v>1223</v>
      </c>
      <c r="F288" s="13" t="s">
        <v>212</v>
      </c>
      <c r="G288" s="13" t="s">
        <v>90</v>
      </c>
      <c r="H288" s="14" t="s">
        <v>1224</v>
      </c>
      <c r="I288" s="4" t="s">
        <v>18</v>
      </c>
    </row>
    <row r="289" customFormat="false" ht="23.85" hidden="false" customHeight="false" outlineLevel="0" collapsed="false">
      <c r="A289" s="13" t="s">
        <v>292</v>
      </c>
      <c r="B289" s="14" t="s">
        <v>293</v>
      </c>
      <c r="C289" s="13" t="s">
        <v>68</v>
      </c>
      <c r="D289" s="13" t="s">
        <v>69</v>
      </c>
      <c r="E289" s="15" t="s">
        <v>294</v>
      </c>
      <c r="F289" s="13" t="s">
        <v>212</v>
      </c>
      <c r="G289" s="13" t="s">
        <v>90</v>
      </c>
      <c r="H289" s="14" t="s">
        <v>295</v>
      </c>
      <c r="I289" s="4" t="s">
        <v>10</v>
      </c>
    </row>
    <row r="290" customFormat="false" ht="23.85" hidden="false" customHeight="false" outlineLevel="0" collapsed="false">
      <c r="A290" s="13" t="s">
        <v>296</v>
      </c>
      <c r="B290" s="14" t="s">
        <v>297</v>
      </c>
      <c r="C290" s="13" t="s">
        <v>68</v>
      </c>
      <c r="D290" s="13" t="s">
        <v>69</v>
      </c>
      <c r="E290" s="15" t="s">
        <v>298</v>
      </c>
      <c r="F290" s="13" t="s">
        <v>212</v>
      </c>
      <c r="G290" s="13" t="s">
        <v>90</v>
      </c>
      <c r="H290" s="14" t="s">
        <v>299</v>
      </c>
      <c r="I290" s="4" t="s">
        <v>10</v>
      </c>
    </row>
    <row r="291" customFormat="false" ht="15" hidden="false" customHeight="false" outlineLevel="0" collapsed="false">
      <c r="A291" s="13" t="s">
        <v>300</v>
      </c>
      <c r="B291" s="14" t="s">
        <v>301</v>
      </c>
      <c r="C291" s="13" t="s">
        <v>68</v>
      </c>
      <c r="D291" s="13" t="s">
        <v>69</v>
      </c>
      <c r="E291" s="15" t="s">
        <v>302</v>
      </c>
      <c r="F291" s="13" t="s">
        <v>212</v>
      </c>
      <c r="G291" s="13" t="s">
        <v>90</v>
      </c>
      <c r="H291" s="14" t="s">
        <v>303</v>
      </c>
      <c r="I291" s="4" t="s">
        <v>10</v>
      </c>
    </row>
    <row r="292" customFormat="false" ht="23.85" hidden="false" customHeight="false" outlineLevel="0" collapsed="false">
      <c r="A292" s="13" t="s">
        <v>1277</v>
      </c>
      <c r="B292" s="14" t="s">
        <v>1278</v>
      </c>
      <c r="C292" s="13" t="s">
        <v>638</v>
      </c>
      <c r="D292" s="13" t="s">
        <v>56</v>
      </c>
      <c r="E292" s="15" t="s">
        <v>1279</v>
      </c>
      <c r="F292" s="13" t="s">
        <v>212</v>
      </c>
      <c r="G292" s="13" t="s">
        <v>140</v>
      </c>
      <c r="H292" s="14" t="s">
        <v>1280</v>
      </c>
      <c r="I292" s="4" t="s">
        <v>19</v>
      </c>
    </row>
    <row r="293" customFormat="false" ht="15" hidden="false" customHeight="false" outlineLevel="0" collapsed="false">
      <c r="A293" s="13" t="s">
        <v>1297</v>
      </c>
      <c r="B293" s="14" t="s">
        <v>1298</v>
      </c>
      <c r="C293" s="13" t="s">
        <v>1299</v>
      </c>
      <c r="D293" s="13" t="s">
        <v>1300</v>
      </c>
      <c r="E293" s="15" t="s">
        <v>1301</v>
      </c>
      <c r="F293" s="13" t="s">
        <v>271</v>
      </c>
      <c r="G293" s="13" t="s">
        <v>140</v>
      </c>
      <c r="H293" s="14" t="s">
        <v>1302</v>
      </c>
      <c r="I293" s="4" t="s">
        <v>19</v>
      </c>
    </row>
    <row r="294" customFormat="false" ht="15" hidden="false" customHeight="false" outlineLevel="0" collapsed="false">
      <c r="A294" s="13" t="s">
        <v>1187</v>
      </c>
      <c r="B294" s="14" t="s">
        <v>1188</v>
      </c>
      <c r="C294" s="13" t="s">
        <v>80</v>
      </c>
      <c r="D294" s="13" t="s">
        <v>75</v>
      </c>
      <c r="E294" s="15" t="s">
        <v>1189</v>
      </c>
      <c r="F294" s="13" t="s">
        <v>212</v>
      </c>
      <c r="G294" s="13" t="s">
        <v>140</v>
      </c>
      <c r="H294" s="14" t="s">
        <v>1190</v>
      </c>
      <c r="I294" s="4" t="s">
        <v>18</v>
      </c>
    </row>
    <row r="295" customFormat="false" ht="15" hidden="false" customHeight="false" outlineLevel="0" collapsed="false">
      <c r="A295" s="13" t="s">
        <v>415</v>
      </c>
      <c r="B295" s="14" t="s">
        <v>416</v>
      </c>
      <c r="C295" s="13" t="s">
        <v>80</v>
      </c>
      <c r="D295" s="13" t="s">
        <v>75</v>
      </c>
      <c r="E295" s="15" t="s">
        <v>417</v>
      </c>
      <c r="F295" s="13" t="s">
        <v>212</v>
      </c>
      <c r="G295" s="13" t="s">
        <v>140</v>
      </c>
      <c r="H295" s="14" t="s">
        <v>418</v>
      </c>
      <c r="I295" s="4" t="s">
        <v>11</v>
      </c>
    </row>
    <row r="296" customFormat="false" ht="15" hidden="false" customHeight="false" outlineLevel="0" collapsed="false">
      <c r="A296" s="13" t="s">
        <v>713</v>
      </c>
      <c r="B296" s="14" t="s">
        <v>714</v>
      </c>
      <c r="C296" s="13" t="s">
        <v>80</v>
      </c>
      <c r="D296" s="13" t="s">
        <v>75</v>
      </c>
      <c r="E296" s="15" t="s">
        <v>715</v>
      </c>
      <c r="F296" s="13" t="s">
        <v>212</v>
      </c>
      <c r="G296" s="13" t="s">
        <v>140</v>
      </c>
      <c r="H296" s="14" t="s">
        <v>716</v>
      </c>
      <c r="I296" s="4" t="s">
        <v>14</v>
      </c>
    </row>
    <row r="297" customFormat="false" ht="15" hidden="false" customHeight="false" outlineLevel="0" collapsed="false">
      <c r="A297" s="13" t="s">
        <v>251</v>
      </c>
      <c r="B297" s="14" t="s">
        <v>252</v>
      </c>
      <c r="C297" s="13" t="s">
        <v>80</v>
      </c>
      <c r="D297" s="13" t="s">
        <v>75</v>
      </c>
      <c r="E297" s="15" t="s">
        <v>253</v>
      </c>
      <c r="F297" s="13" t="s">
        <v>212</v>
      </c>
      <c r="G297" s="13" t="s">
        <v>140</v>
      </c>
      <c r="H297" s="14" t="s">
        <v>254</v>
      </c>
      <c r="I297" s="4" t="s">
        <v>10</v>
      </c>
    </row>
    <row r="298" customFormat="false" ht="23.85" hidden="false" customHeight="false" outlineLevel="0" collapsed="false">
      <c r="A298" s="13" t="s">
        <v>616</v>
      </c>
      <c r="B298" s="14" t="s">
        <v>617</v>
      </c>
      <c r="C298" s="13" t="s">
        <v>80</v>
      </c>
      <c r="D298" s="13" t="s">
        <v>75</v>
      </c>
      <c r="E298" s="15" t="s">
        <v>618</v>
      </c>
      <c r="F298" s="13" t="s">
        <v>212</v>
      </c>
      <c r="G298" s="13" t="s">
        <v>140</v>
      </c>
      <c r="H298" s="14" t="s">
        <v>619</v>
      </c>
      <c r="I298" s="4" t="s">
        <v>13</v>
      </c>
    </row>
    <row r="299" customFormat="false" ht="15" hidden="false" customHeight="false" outlineLevel="0" collapsed="false">
      <c r="A299" s="13" t="s">
        <v>536</v>
      </c>
      <c r="B299" s="14" t="s">
        <v>537</v>
      </c>
      <c r="C299" s="13" t="s">
        <v>74</v>
      </c>
      <c r="D299" s="13" t="s">
        <v>56</v>
      </c>
      <c r="E299" s="15" t="s">
        <v>538</v>
      </c>
      <c r="F299" s="13" t="s">
        <v>212</v>
      </c>
      <c r="G299" s="13" t="s">
        <v>140</v>
      </c>
      <c r="H299" s="14" t="s">
        <v>539</v>
      </c>
      <c r="I299" s="4" t="s">
        <v>12</v>
      </c>
    </row>
    <row r="300" customFormat="false" ht="15" hidden="false" customHeight="false" outlineLevel="0" collapsed="false">
      <c r="A300" s="13" t="s">
        <v>1191</v>
      </c>
      <c r="B300" s="14" t="s">
        <v>1192</v>
      </c>
      <c r="C300" s="13" t="s">
        <v>74</v>
      </c>
      <c r="D300" s="13" t="s">
        <v>56</v>
      </c>
      <c r="E300" s="15" t="s">
        <v>1193</v>
      </c>
      <c r="F300" s="13" t="s">
        <v>212</v>
      </c>
      <c r="G300" s="13" t="s">
        <v>140</v>
      </c>
      <c r="H300" s="14" t="s">
        <v>1194</v>
      </c>
      <c r="I300" s="4" t="s">
        <v>18</v>
      </c>
    </row>
    <row r="301" customFormat="false" ht="15" hidden="false" customHeight="false" outlineLevel="0" collapsed="false">
      <c r="A301" s="13" t="s">
        <v>717</v>
      </c>
      <c r="B301" s="14" t="s">
        <v>718</v>
      </c>
      <c r="C301" s="13" t="s">
        <v>74</v>
      </c>
      <c r="D301" s="13" t="s">
        <v>56</v>
      </c>
      <c r="E301" s="15" t="s">
        <v>719</v>
      </c>
      <c r="F301" s="13" t="s">
        <v>212</v>
      </c>
      <c r="G301" s="13" t="s">
        <v>140</v>
      </c>
      <c r="H301" s="14" t="s">
        <v>720</v>
      </c>
      <c r="I301" s="4" t="s">
        <v>14</v>
      </c>
    </row>
    <row r="302" customFormat="false" ht="15" hidden="false" customHeight="false" outlineLevel="0" collapsed="false">
      <c r="A302" s="13" t="s">
        <v>540</v>
      </c>
      <c r="B302" s="14" t="s">
        <v>541</v>
      </c>
      <c r="C302" s="13" t="s">
        <v>74</v>
      </c>
      <c r="D302" s="13" t="s">
        <v>56</v>
      </c>
      <c r="E302" s="15" t="s">
        <v>542</v>
      </c>
      <c r="F302" s="13" t="s">
        <v>212</v>
      </c>
      <c r="G302" s="13" t="s">
        <v>140</v>
      </c>
      <c r="H302" s="14" t="s">
        <v>543</v>
      </c>
      <c r="I302" s="4" t="s">
        <v>12</v>
      </c>
    </row>
    <row r="303" customFormat="false" ht="23.85" hidden="false" customHeight="false" outlineLevel="0" collapsed="false">
      <c r="A303" s="13" t="s">
        <v>620</v>
      </c>
      <c r="B303" s="14" t="s">
        <v>621</v>
      </c>
      <c r="C303" s="13" t="s">
        <v>74</v>
      </c>
      <c r="D303" s="13" t="s">
        <v>56</v>
      </c>
      <c r="E303" s="15" t="s">
        <v>622</v>
      </c>
      <c r="F303" s="13" t="s">
        <v>212</v>
      </c>
      <c r="G303" s="13" t="s">
        <v>140</v>
      </c>
      <c r="H303" s="14" t="s">
        <v>623</v>
      </c>
      <c r="I303" s="4" t="s">
        <v>13</v>
      </c>
    </row>
    <row r="304" customFormat="false" ht="15" hidden="false" customHeight="false" outlineLevel="0" collapsed="false">
      <c r="A304" s="13" t="s">
        <v>721</v>
      </c>
      <c r="B304" s="14" t="s">
        <v>722</v>
      </c>
      <c r="C304" s="13" t="s">
        <v>74</v>
      </c>
      <c r="D304" s="13" t="s">
        <v>56</v>
      </c>
      <c r="E304" s="15" t="s">
        <v>723</v>
      </c>
      <c r="F304" s="13" t="s">
        <v>212</v>
      </c>
      <c r="G304" s="13" t="s">
        <v>140</v>
      </c>
      <c r="H304" s="14" t="s">
        <v>724</v>
      </c>
      <c r="I304" s="4" t="s">
        <v>14</v>
      </c>
    </row>
    <row r="305" customFormat="false" ht="15" hidden="false" customHeight="false" outlineLevel="0" collapsed="false">
      <c r="A305" s="13" t="s">
        <v>419</v>
      </c>
      <c r="B305" s="14" t="s">
        <v>420</v>
      </c>
      <c r="C305" s="13" t="s">
        <v>74</v>
      </c>
      <c r="D305" s="13" t="s">
        <v>56</v>
      </c>
      <c r="E305" s="15" t="s">
        <v>421</v>
      </c>
      <c r="F305" s="13" t="s">
        <v>212</v>
      </c>
      <c r="G305" s="13" t="s">
        <v>140</v>
      </c>
      <c r="H305" s="14" t="s">
        <v>422</v>
      </c>
      <c r="I305" s="4" t="s">
        <v>11</v>
      </c>
    </row>
    <row r="306" customFormat="false" ht="15" hidden="false" customHeight="false" outlineLevel="0" collapsed="false">
      <c r="A306" s="13" t="s">
        <v>828</v>
      </c>
      <c r="B306" s="14" t="s">
        <v>829</v>
      </c>
      <c r="C306" s="13" t="s">
        <v>74</v>
      </c>
      <c r="D306" s="13" t="s">
        <v>56</v>
      </c>
      <c r="E306" s="15" t="s">
        <v>830</v>
      </c>
      <c r="F306" s="13" t="s">
        <v>212</v>
      </c>
      <c r="G306" s="13" t="s">
        <v>140</v>
      </c>
      <c r="H306" s="14" t="s">
        <v>831</v>
      </c>
      <c r="I306" s="4" t="s">
        <v>15</v>
      </c>
    </row>
    <row r="307" customFormat="false" ht="15" hidden="false" customHeight="false" outlineLevel="0" collapsed="false">
      <c r="A307" s="13" t="s">
        <v>832</v>
      </c>
      <c r="B307" s="14" t="s">
        <v>833</v>
      </c>
      <c r="C307" s="13" t="s">
        <v>74</v>
      </c>
      <c r="D307" s="13" t="s">
        <v>56</v>
      </c>
      <c r="E307" s="15" t="s">
        <v>834</v>
      </c>
      <c r="F307" s="13" t="s">
        <v>212</v>
      </c>
      <c r="G307" s="13" t="s">
        <v>140</v>
      </c>
      <c r="H307" s="14" t="s">
        <v>835</v>
      </c>
      <c r="I307" s="4" t="s">
        <v>15</v>
      </c>
    </row>
    <row r="308" customFormat="false" ht="15" hidden="false" customHeight="false" outlineLevel="0" collapsed="false">
      <c r="A308" s="13" t="s">
        <v>1041</v>
      </c>
      <c r="B308" s="14" t="s">
        <v>1042</v>
      </c>
      <c r="C308" s="13" t="s">
        <v>74</v>
      </c>
      <c r="D308" s="13" t="s">
        <v>56</v>
      </c>
      <c r="E308" s="15" t="s">
        <v>1043</v>
      </c>
      <c r="F308" s="13" t="s">
        <v>212</v>
      </c>
      <c r="G308" s="13" t="s">
        <v>140</v>
      </c>
      <c r="H308" s="14" t="s">
        <v>1044</v>
      </c>
      <c r="I308" s="4" t="s">
        <v>17</v>
      </c>
    </row>
    <row r="309" customFormat="false" ht="23.85" hidden="false" customHeight="false" outlineLevel="0" collapsed="false">
      <c r="A309" s="13" t="s">
        <v>942</v>
      </c>
      <c r="B309" s="14" t="s">
        <v>943</v>
      </c>
      <c r="C309" s="13" t="s">
        <v>74</v>
      </c>
      <c r="D309" s="13" t="s">
        <v>56</v>
      </c>
      <c r="E309" s="15" t="s">
        <v>944</v>
      </c>
      <c r="F309" s="13" t="s">
        <v>212</v>
      </c>
      <c r="G309" s="13" t="s">
        <v>140</v>
      </c>
      <c r="H309" s="14" t="s">
        <v>945</v>
      </c>
      <c r="I309" s="4" t="s">
        <v>16</v>
      </c>
    </row>
    <row r="310" customFormat="false" ht="15" hidden="false" customHeight="false" outlineLevel="0" collapsed="false">
      <c r="A310" s="13" t="s">
        <v>1281</v>
      </c>
      <c r="B310" s="14" t="s">
        <v>1282</v>
      </c>
      <c r="C310" s="13" t="s">
        <v>74</v>
      </c>
      <c r="D310" s="13" t="s">
        <v>56</v>
      </c>
      <c r="E310" s="15" t="s">
        <v>1283</v>
      </c>
      <c r="F310" s="13" t="s">
        <v>212</v>
      </c>
      <c r="G310" s="13" t="s">
        <v>140</v>
      </c>
      <c r="H310" s="14" t="s">
        <v>1284</v>
      </c>
      <c r="I310" s="4" t="s">
        <v>19</v>
      </c>
    </row>
    <row r="311" customFormat="false" ht="15" hidden="false" customHeight="false" outlineLevel="0" collapsed="false">
      <c r="A311" s="13" t="s">
        <v>1045</v>
      </c>
      <c r="B311" s="14" t="s">
        <v>1046</v>
      </c>
      <c r="C311" s="13" t="s">
        <v>74</v>
      </c>
      <c r="D311" s="13" t="s">
        <v>56</v>
      </c>
      <c r="E311" s="15" t="s">
        <v>1047</v>
      </c>
      <c r="F311" s="13" t="s">
        <v>212</v>
      </c>
      <c r="G311" s="13" t="s">
        <v>140</v>
      </c>
      <c r="H311" s="14" t="s">
        <v>1048</v>
      </c>
      <c r="I311" s="4" t="s">
        <v>17</v>
      </c>
    </row>
    <row r="312" customFormat="false" ht="15" hidden="false" customHeight="false" outlineLevel="0" collapsed="false">
      <c r="A312" s="13" t="s">
        <v>725</v>
      </c>
      <c r="B312" s="14" t="s">
        <v>726</v>
      </c>
      <c r="C312" s="13" t="s">
        <v>74</v>
      </c>
      <c r="D312" s="13" t="s">
        <v>56</v>
      </c>
      <c r="E312" s="15" t="s">
        <v>727</v>
      </c>
      <c r="F312" s="13" t="s">
        <v>212</v>
      </c>
      <c r="G312" s="13" t="s">
        <v>140</v>
      </c>
      <c r="H312" s="14" t="s">
        <v>728</v>
      </c>
      <c r="I312" s="4" t="s">
        <v>14</v>
      </c>
    </row>
    <row r="313" customFormat="false" ht="15" hidden="false" customHeight="false" outlineLevel="0" collapsed="false">
      <c r="A313" s="13" t="s">
        <v>1195</v>
      </c>
      <c r="B313" s="14" t="s">
        <v>1196</v>
      </c>
      <c r="C313" s="13" t="s">
        <v>74</v>
      </c>
      <c r="D313" s="13" t="s">
        <v>56</v>
      </c>
      <c r="E313" s="15" t="s">
        <v>1197</v>
      </c>
      <c r="F313" s="13" t="s">
        <v>212</v>
      </c>
      <c r="G313" s="13" t="s">
        <v>140</v>
      </c>
      <c r="H313" s="14" t="s">
        <v>1194</v>
      </c>
      <c r="I313" s="4" t="s">
        <v>18</v>
      </c>
    </row>
    <row r="314" customFormat="false" ht="23.85" hidden="false" customHeight="false" outlineLevel="0" collapsed="false">
      <c r="A314" s="13" t="s">
        <v>946</v>
      </c>
      <c r="B314" s="14" t="s">
        <v>947</v>
      </c>
      <c r="C314" s="13" t="s">
        <v>74</v>
      </c>
      <c r="D314" s="13" t="s">
        <v>56</v>
      </c>
      <c r="E314" s="15" t="s">
        <v>948</v>
      </c>
      <c r="F314" s="13" t="s">
        <v>212</v>
      </c>
      <c r="G314" s="13" t="s">
        <v>140</v>
      </c>
      <c r="H314" s="14" t="s">
        <v>949</v>
      </c>
      <c r="I314" s="4" t="s">
        <v>16</v>
      </c>
    </row>
    <row r="315" customFormat="false" ht="15" hidden="false" customHeight="false" outlineLevel="0" collapsed="false">
      <c r="A315" s="13" t="s">
        <v>544</v>
      </c>
      <c r="B315" s="14" t="s">
        <v>545</v>
      </c>
      <c r="C315" s="13" t="s">
        <v>74</v>
      </c>
      <c r="D315" s="13" t="s">
        <v>56</v>
      </c>
      <c r="E315" s="15" t="s">
        <v>546</v>
      </c>
      <c r="F315" s="13" t="s">
        <v>212</v>
      </c>
      <c r="G315" s="13" t="s">
        <v>140</v>
      </c>
      <c r="H315" s="14" t="s">
        <v>547</v>
      </c>
      <c r="I315" s="4" t="s">
        <v>12</v>
      </c>
    </row>
    <row r="316" customFormat="false" ht="15" hidden="false" customHeight="false" outlineLevel="0" collapsed="false">
      <c r="A316" s="13" t="s">
        <v>1198</v>
      </c>
      <c r="B316" s="14" t="s">
        <v>1199</v>
      </c>
      <c r="C316" s="13" t="s">
        <v>74</v>
      </c>
      <c r="D316" s="13" t="s">
        <v>56</v>
      </c>
      <c r="E316" s="15" t="s">
        <v>1200</v>
      </c>
      <c r="F316" s="13" t="s">
        <v>212</v>
      </c>
      <c r="G316" s="13" t="s">
        <v>140</v>
      </c>
      <c r="H316" s="14" t="s">
        <v>1194</v>
      </c>
      <c r="I316" s="4" t="s">
        <v>18</v>
      </c>
    </row>
    <row r="317" customFormat="false" ht="15" hidden="false" customHeight="false" outlineLevel="0" collapsed="false">
      <c r="A317" s="13" t="s">
        <v>950</v>
      </c>
      <c r="B317" s="14" t="s">
        <v>951</v>
      </c>
      <c r="C317" s="13" t="s">
        <v>74</v>
      </c>
      <c r="D317" s="13" t="s">
        <v>56</v>
      </c>
      <c r="E317" s="15" t="s">
        <v>952</v>
      </c>
      <c r="F317" s="13" t="s">
        <v>212</v>
      </c>
      <c r="G317" s="13" t="s">
        <v>140</v>
      </c>
      <c r="H317" s="14" t="s">
        <v>953</v>
      </c>
      <c r="I317" s="4" t="s">
        <v>16</v>
      </c>
    </row>
    <row r="318" customFormat="false" ht="15" hidden="false" customHeight="false" outlineLevel="0" collapsed="false">
      <c r="A318" s="13" t="s">
        <v>1049</v>
      </c>
      <c r="B318" s="14" t="s">
        <v>1050</v>
      </c>
      <c r="C318" s="13" t="s">
        <v>74</v>
      </c>
      <c r="D318" s="13" t="s">
        <v>56</v>
      </c>
      <c r="E318" s="15" t="s">
        <v>1051</v>
      </c>
      <c r="F318" s="13" t="s">
        <v>212</v>
      </c>
      <c r="G318" s="13" t="s">
        <v>140</v>
      </c>
      <c r="H318" s="14" t="s">
        <v>1044</v>
      </c>
      <c r="I318" s="4" t="s">
        <v>17</v>
      </c>
    </row>
    <row r="319" customFormat="false" ht="23.85" hidden="false" customHeight="false" outlineLevel="0" collapsed="false">
      <c r="A319" s="13" t="s">
        <v>423</v>
      </c>
      <c r="B319" s="14" t="s">
        <v>424</v>
      </c>
      <c r="C319" s="13" t="s">
        <v>74</v>
      </c>
      <c r="D319" s="13" t="s">
        <v>56</v>
      </c>
      <c r="E319" s="15" t="s">
        <v>425</v>
      </c>
      <c r="F319" s="13" t="s">
        <v>212</v>
      </c>
      <c r="G319" s="13" t="s">
        <v>140</v>
      </c>
      <c r="H319" s="14" t="s">
        <v>426</v>
      </c>
      <c r="I319" s="4" t="s">
        <v>11</v>
      </c>
    </row>
    <row r="320" customFormat="false" ht="15" hidden="false" customHeight="false" outlineLevel="0" collapsed="false">
      <c r="A320" s="13" t="s">
        <v>548</v>
      </c>
      <c r="B320" s="14" t="s">
        <v>549</v>
      </c>
      <c r="C320" s="13" t="s">
        <v>74</v>
      </c>
      <c r="D320" s="13" t="s">
        <v>56</v>
      </c>
      <c r="E320" s="15" t="s">
        <v>550</v>
      </c>
      <c r="F320" s="13" t="s">
        <v>212</v>
      </c>
      <c r="G320" s="13" t="s">
        <v>140</v>
      </c>
      <c r="H320" s="14" t="s">
        <v>551</v>
      </c>
      <c r="I320" s="4" t="s">
        <v>12</v>
      </c>
    </row>
    <row r="321" customFormat="false" ht="15" hidden="false" customHeight="false" outlineLevel="0" collapsed="false">
      <c r="A321" s="13" t="s">
        <v>836</v>
      </c>
      <c r="B321" s="14" t="s">
        <v>837</v>
      </c>
      <c r="C321" s="13" t="s">
        <v>74</v>
      </c>
      <c r="D321" s="13" t="s">
        <v>56</v>
      </c>
      <c r="E321" s="15" t="s">
        <v>838</v>
      </c>
      <c r="F321" s="13" t="s">
        <v>212</v>
      </c>
      <c r="G321" s="13" t="s">
        <v>140</v>
      </c>
      <c r="H321" s="14" t="s">
        <v>839</v>
      </c>
      <c r="I321" s="4" t="s">
        <v>1324</v>
      </c>
    </row>
    <row r="322" customFormat="false" ht="15" hidden="false" customHeight="false" outlineLevel="0" collapsed="false">
      <c r="A322" s="13" t="s">
        <v>427</v>
      </c>
      <c r="B322" s="14" t="s">
        <v>428</v>
      </c>
      <c r="C322" s="13" t="s">
        <v>74</v>
      </c>
      <c r="D322" s="13" t="s">
        <v>56</v>
      </c>
      <c r="E322" s="15" t="s">
        <v>429</v>
      </c>
      <c r="F322" s="13" t="s">
        <v>212</v>
      </c>
      <c r="G322" s="13" t="s">
        <v>140</v>
      </c>
      <c r="H322" s="14" t="s">
        <v>430</v>
      </c>
      <c r="I322" s="4" t="s">
        <v>11</v>
      </c>
    </row>
    <row r="323" customFormat="false" ht="15" hidden="false" customHeight="false" outlineLevel="0" collapsed="false">
      <c r="A323" s="13" t="s">
        <v>1285</v>
      </c>
      <c r="B323" s="14" t="s">
        <v>1286</v>
      </c>
      <c r="C323" s="13" t="s">
        <v>74</v>
      </c>
      <c r="D323" s="13" t="s">
        <v>56</v>
      </c>
      <c r="E323" s="15" t="s">
        <v>1287</v>
      </c>
      <c r="F323" s="13" t="s">
        <v>212</v>
      </c>
      <c r="G323" s="13" t="s">
        <v>140</v>
      </c>
      <c r="H323" s="14" t="s">
        <v>1288</v>
      </c>
      <c r="I323" s="4" t="s">
        <v>19</v>
      </c>
    </row>
    <row r="324" customFormat="false" ht="15" hidden="false" customHeight="false" outlineLevel="0" collapsed="false">
      <c r="A324" s="13" t="s">
        <v>1201</v>
      </c>
      <c r="B324" s="14" t="s">
        <v>1202</v>
      </c>
      <c r="C324" s="13" t="s">
        <v>74</v>
      </c>
      <c r="D324" s="13" t="s">
        <v>56</v>
      </c>
      <c r="E324" s="15" t="s">
        <v>1203</v>
      </c>
      <c r="F324" s="13" t="s">
        <v>212</v>
      </c>
      <c r="G324" s="13" t="s">
        <v>140</v>
      </c>
      <c r="H324" s="14" t="s">
        <v>1204</v>
      </c>
      <c r="I324" s="4" t="s">
        <v>18</v>
      </c>
    </row>
  </sheetData>
  <autoFilter ref="A3:I324"/>
  <hyperlinks>
    <hyperlink ref="E4" r:id="rId1" display="http://www.secretariasenado.gov.co/senado/basedoc/constitucion_politica_1991.html?q=Constitucion"/>
    <hyperlink ref="E5" r:id="rId2" display="http://www.secretariasenado.gov.co/senado/basedoc/?q=Decision%20andina%20486"/>
    <hyperlink ref="E6" r:id="rId3" display="https://www.suin-juriscol.gov.co/legislacion/?q=Decreto%201082%20de%202015"/>
    <hyperlink ref="E7" r:id="rId4" display="https://www.suin-juriscol.gov.co/legislacion/?q=Decreto%202067%20de%201991"/>
    <hyperlink ref="E8" r:id="rId5" display="https://www.suin-juriscol.gov.co/legislacion/?q=Decreto%202153%20de%201992"/>
    <hyperlink ref="E9" r:id="rId6" display="http://www.secretariasenado.gov.co/senado/basedoc/?q=Codigo%20sustantivo%20trabajo"/>
    <hyperlink ref="E10" r:id="rId7" display="http://www.secretariasenado.gov.co/senado/basedoc/?q=Estatuto%20tributario"/>
    <hyperlink ref="E11" r:id="rId8" display="https://www.suin-juriscol.gov.co/legislacion/?q=Decreto%20663%20de%201993"/>
    <hyperlink ref="E12" r:id="rId9" display="https://www.suin-juriscol.gov.co/legislacion/?q=Ley%201010%20de%202006"/>
    <hyperlink ref="E13" r:id="rId10" display="http://www.secretariasenado.gov.co/senado/basedoc/?q=Codigo%20infancia"/>
    <hyperlink ref="E14" r:id="rId11" display="https://www.suin-juriscol.gov.co/legislacion/?q=Ley%201116%20de%202006"/>
    <hyperlink ref="E15" r:id="rId12" display="https://www.suin-juriscol.gov.co/legislacion/?q=Ley%201150%20de%202007"/>
    <hyperlink ref="E16" r:id="rId13" display="https://www.suin-juriscol.gov.co/legislacion/?q=Ley%201258%20de%202008"/>
    <hyperlink ref="E17" r:id="rId14" display="https://www.suin-juriscol.gov.co/legislacion/?q=Ley%201340%20de%202009"/>
    <hyperlink ref="E18" r:id="rId15" display="http://www.secretariasenado.gov.co/senado/basedoc/?q=Estatuto%20consumidor"/>
    <hyperlink ref="E19" r:id="rId16" display="https://www.suin-juriscol.gov.co/legislacion/?q=Ley%20153%20de%201887"/>
    <hyperlink ref="E20" r:id="rId17" display="https://www.suin-juriscol.gov.co/legislacion/?q=Ley%201562%20de%202012"/>
    <hyperlink ref="E21" r:id="rId18" display="http://www.secretariasenado.gov.co/senado/basedoc/?q=Codigo%20general%20proceso"/>
    <hyperlink ref="E22" r:id="rId19" display="https://www.suin-juriscol.gov.co/legislacion/?q=Ley%201581%20de%202012"/>
    <hyperlink ref="E23" r:id="rId20" display="https://www.suin-juriscol.gov.co/legislacion/?q=Ley%201755%20de%202015"/>
    <hyperlink ref="E24" r:id="rId21" display="http://www.secretariasenado.gov.co/senado/basedoc/?q=Codigo%20disciplinario"/>
    <hyperlink ref="E25" r:id="rId22" display="https://www.suin-juriscol.gov.co/legislacion/?q=Ley%202220%20de%202022"/>
    <hyperlink ref="E26" r:id="rId23" display="https://www.suin-juriscol.gov.co/legislacion/?q=Ley%202452%20de%202025"/>
    <hyperlink ref="E27" r:id="rId24" display="https://www.suin-juriscol.gov.co/legislacion/?q=Ley%202466%20de%202025"/>
    <hyperlink ref="E28" r:id="rId25" display="https://www.suin-juriscol.gov.co/legislacion/?q=Ley%20256%20de%201996"/>
    <hyperlink ref="E29" r:id="rId26" display="https://www.suin-juriscol.gov.co/legislacion/?q=Ley%2054%20de%201990"/>
    <hyperlink ref="E30" r:id="rId27" display="https://www.suin-juriscol.gov.co/legislacion/?q=Ley%2080%20de%201993"/>
    <hyperlink ref="E31" r:id="rId28" display="https://www.suin-juriscol.gov.co/legislacion/?q=Ley%20979%20de%202005"/>
    <hyperlink ref="E32" r:id="rId29" display="https://www.corteconstitucional.gov.co/relatoria/?q=Sentencia%20C-39%20de%202025"/>
    <hyperlink ref="E33" r:id="rId30" display="https://www.corteconstitucional.gov.co/relatoria/?q=Sentencia%20C-145%20de%202018"/>
    <hyperlink ref="E34" r:id="rId31" display="https://www.corteconstitucional.gov.co/relatoria/?q=Sentencia%20C-332%20de%202025"/>
    <hyperlink ref="E35" r:id="rId32" display="https://www.corteconstitucional.gov.co/relatoria/?q=Sentencia%20C-355%20de%202006"/>
    <hyperlink ref="E36" r:id="rId33" display="https://www.corteconstitucional.gov.co/relatoria/?q=Sentencia%20C-891%20de%202012"/>
    <hyperlink ref="E37" r:id="rId34" display="https://www.corteconstitucional.gov.co/relatoria/?q=Sentencia%20SL-3385%20de%202022"/>
    <hyperlink ref="E38" r:id="rId35" display="https://www.corteconstitucional.gov.co/relatoria/?q=Sentencia%20SU-455%20de%202020"/>
    <hyperlink ref="E39" r:id="rId36" display="https://www.suin-juriscol.gov.co/legislacion/?q=Ley%201095%20de%202006"/>
    <hyperlink ref="E40" r:id="rId37" display="https://www.suin-juriscol.gov.co/legislacion/?q=Ley%202141%20de%202021"/>
    <hyperlink ref="E41" r:id="rId38" display="https://www.suin-juriscol.gov.co/legislacion/?q=Ley%202437%20de%202024"/>
    <hyperlink ref="E42" r:id="rId39" display="https://www.suin-juriscol.gov.co/legislacion/?q=Ley%2050%20de%201990"/>
    <hyperlink ref="E43" r:id="rId40" display="https://www.corteconstitucional.gov.co/relatoria/?q=Sentencia%20C-15%20de%202018"/>
    <hyperlink ref="E44" r:id="rId41" display="https://www.corteconstitucional.gov.co/relatoria/?q=Sentencia%20C-35%20de%202009"/>
    <hyperlink ref="E45" r:id="rId42" display="https://www.corteconstitucional.gov.co/relatoria/?q=Sentencia%20C-55%20de%202022"/>
    <hyperlink ref="E46" r:id="rId43" display="https://www.corteconstitucional.gov.co/relatoria/?q=Sentencia%20C-94%20de%202021"/>
    <hyperlink ref="E47" r:id="rId44" display="https://www.corteconstitucional.gov.co/relatoria/?q=Sentencia%20C-96%20de%202024"/>
    <hyperlink ref="E48" r:id="rId45" display="https://www.corteconstitucional.gov.co/relatoria/?q=Sentencia%20C-117%20de%202018"/>
    <hyperlink ref="E49" r:id="rId46" display="https://www.corteconstitucional.gov.co/relatoria/?q=Sentencia%20C-127%20de%202011"/>
    <hyperlink ref="E50" r:id="rId47" display="https://www.corteconstitucional.gov.co/relatoria/?q=Sentencia%20C-134%20de%202019"/>
    <hyperlink ref="E51" r:id="rId48" display="https://www.corteconstitucional.gov.co/relatoria/?q=Sentencia%20C-164%20de%202022"/>
    <hyperlink ref="E52" r:id="rId49" display="https://www.corteconstitucional.gov.co/relatoria/?q=Sentencia%20C-207%20de%202019"/>
    <hyperlink ref="E53" r:id="rId50" display="https://www.corteconstitucional.gov.co/relatoria/?q=Sentencia%20C-259%20de%202015"/>
    <hyperlink ref="E54" r:id="rId51" display="https://www.corteconstitucional.gov.co/relatoria/?q=Sentencia%20C-394%20de%202017"/>
    <hyperlink ref="E55" r:id="rId52" display="https://www.corteconstitucional.gov.co/relatoria/?q=Sentencia%20C-431%20de%202001"/>
    <hyperlink ref="E56" r:id="rId53" display="https://www.corteconstitucional.gov.co/relatoria/?q=Sentencia%20C-500%20de%202024"/>
    <hyperlink ref="E57" r:id="rId54" display="https://www.corteconstitucional.gov.co/relatoria/?q=Sentencia%20C-507%20de%202004"/>
    <hyperlink ref="E58" r:id="rId55" display="https://www.corteconstitucional.gov.co/relatoria/?q=Sentencia%20C-540%20de%202023"/>
    <hyperlink ref="E59" r:id="rId56" display="https://www.corteconstitucional.gov.co/relatoria/?q=Sentencia%20C-582%20de%201999"/>
    <hyperlink ref="E60" r:id="rId57" display="https://www.corteconstitucional.gov.co/relatoria/?q=Sentencia%20C-746%20de%202011"/>
    <hyperlink ref="E61" r:id="rId58" display="https://www.corteconstitucional.gov.co/relatoria/?q=Sentencia%20C-748%20de%202011"/>
    <hyperlink ref="E62" r:id="rId59" display="https://www.corteconstitucional.gov.co/relatoria/?q=Sentencia%20SL-648%20de%202018"/>
    <hyperlink ref="E63" r:id="rId60" display="https://www.corteconstitucional.gov.co/relatoria/?q=Sentencia%20SP-1680%20de%202022"/>
    <hyperlink ref="E64" r:id="rId61" display="https://www.corteconstitucional.gov.co/relatoria/?q=Sentencia%20SP-1945%20de%202019"/>
    <hyperlink ref="E65" r:id="rId62" display="https://www.corteconstitucional.gov.co/relatoria/?q=Sentencia%20SU-11%20de%202020"/>
    <hyperlink ref="E66" r:id="rId63" display="https://www.corteconstitucional.gov.co/relatoria/?q=Sentencia%20SU-27%20de%202021"/>
    <hyperlink ref="E67" r:id="rId64" display="https://www.corteconstitucional.gov.co/relatoria/?q=Sentencia%20SU-111%20de%202025"/>
    <hyperlink ref="E68" r:id="rId65" display="https://www.corteconstitucional.gov.co/relatoria/?q=Sentencia%20SU-138%20de%202024"/>
    <hyperlink ref="E69" r:id="rId66" display="https://www.corteconstitucional.gov.co/relatoria/?q=Sentencia%20SU-149%20de%202021"/>
    <hyperlink ref="E70" r:id="rId67" display="https://www.corteconstitucional.gov.co/relatoria/?q=Sentencia%20SU-207%20de%202022"/>
    <hyperlink ref="E71" r:id="rId68" display="https://www.corteconstitucional.gov.co/relatoria/?q=Sentencia%20SU-214%20de%202016"/>
    <hyperlink ref="E72" r:id="rId69" display="https://www.corteconstitucional.gov.co/relatoria/?q=Sentencia%20SU-240%20de%202015"/>
    <hyperlink ref="E73" r:id="rId70" display="https://www.corteconstitucional.gov.co/relatoria/?q=Sentencia%20SU-296%20de%202023"/>
    <hyperlink ref="E74" r:id="rId71" display="https://www.corteconstitucional.gov.co/relatoria/?q=Sentencia%20SU-315%20de%202025"/>
    <hyperlink ref="E75" r:id="rId72" display="https://www.corteconstitucional.gov.co/relatoria/?q=Sentencia%20SU-380%20de%202021"/>
    <hyperlink ref="E76" r:id="rId73" display="https://www.corteconstitucional.gov.co/relatoria/?q=Sentencia%20SU-396%20de%202024"/>
    <hyperlink ref="E77" r:id="rId74" display="https://www.corteconstitucional.gov.co/relatoria/?q=Sentencia%20SU-425%20de%202025"/>
    <hyperlink ref="E78" r:id="rId75" display="https://www.corteconstitucional.gov.co/relatoria/?q=Sentencia%20SU-429%20de%202024"/>
    <hyperlink ref="E79" r:id="rId76" display="https://www.corteconstitucional.gov.co/relatoria/?q=Sentencia%20SU-431%20de%202015"/>
    <hyperlink ref="E80" r:id="rId77" display="https://www.corteconstitucional.gov.co/relatoria/?q=Sentencia%20SU-488%20de%202011"/>
    <hyperlink ref="E81" r:id="rId78" display="https://www.corteconstitucional.gov.co/relatoria/?q=Sentencia%20SU-500%20de%202015"/>
    <hyperlink ref="E82" r:id="rId79" display="https://www.corteconstitucional.gov.co/relatoria/?q=Sentencia%20SU-566%20de%202015"/>
    <hyperlink ref="E83" r:id="rId80" display="https://www.corteconstitucional.gov.co/relatoria/?q=Sentencia%20T-243%20de%202018"/>
    <hyperlink ref="E84" r:id="rId81" display="https://www.corteconstitucional.gov.co/relatoria/?q=Sentencia%20T-323%20de%202024"/>
    <hyperlink ref="E85" r:id="rId82" display="https://www.corteconstitucional.gov.co/relatoria/?q=Sentencia%20T-547%20de%202017"/>
    <hyperlink ref="E86" r:id="rId83" display="https://www.corteconstitucional.gov.co/relatoria/?q=Sentencia%20T-760%20de%202008"/>
    <hyperlink ref="E87" r:id="rId84" display="https://www.suin-juriscol.gov.co/legislacion/?q=Acuerdo%2002%20de%202015"/>
    <hyperlink ref="E88" r:id="rId85" display="https://www.suin-juriscol.gov.co/legislacion/?q=Decreto%201563%20de%202012"/>
    <hyperlink ref="E89" r:id="rId86" display="https://www.suin-juriscol.gov.co/legislacion/?q=Decreto%201742%20de%202020"/>
    <hyperlink ref="E90" r:id="rId87" display="https://www.suin-juriscol.gov.co/legislacion/?q=Decreto%20175%20de%202025"/>
    <hyperlink ref="E91" r:id="rId88" display="https://www.suin-juriscol.gov.co/legislacion/?q=Decreto%2024%20de%202016"/>
    <hyperlink ref="E92" r:id="rId89" display="https://www.suin-juriscol.gov.co/legislacion/?q=Decreto%20405%20de%202025"/>
    <hyperlink ref="E93" r:id="rId90" display="https://www.suin-juriscol.gov.co/legislacion/?q=Decreto%204334%20de%202008"/>
    <hyperlink ref="E94" r:id="rId91" display="https://www.suin-juriscol.gov.co/legislacion/?q=Decreto%204436%20de%202005"/>
    <hyperlink ref="E95" r:id="rId92" display="https://www.suin-juriscol.gov.co/legislacion/?q=Decreto%20046%20de%202024"/>
    <hyperlink ref="E96" r:id="rId93" display="https://www.suin-juriscol.gov.co/legislacion/?q=Decreto%204886%20de%202011"/>
    <hyperlink ref="E97" r:id="rId94" display="https://www.suin-juriscol.gov.co/legislacion/?q=Decreto%20780%20de%202016"/>
    <hyperlink ref="E98" r:id="rId95" display="https://www.suin-juriscol.gov.co/legislacion/?q=Decreto%20875%20de%202008"/>
    <hyperlink ref="E99" r:id="rId96" display="https://www.suin-juriscol.gov.co/legislacion/?q=Decreto%20960%20de%201970"/>
    <hyperlink ref="E100" r:id="rId97" display="https://www.suin-juriscol.gov.co/legislacion/?q=Ley%2011500%20de%202007"/>
    <hyperlink ref="E101" r:id="rId98" display="https://www.suin-juriscol.gov.co/legislacion/?q=Ley%201150%20de%202005"/>
    <hyperlink ref="E102" r:id="rId99" display="https://www.suin-juriscol.gov.co/legislacion/?q=Ley%201151%20de%202007"/>
    <hyperlink ref="E103" r:id="rId100" display="https://www.suin-juriscol.gov.co/legislacion/?q=Ley%20116%20de%202006"/>
    <hyperlink ref="E104" r:id="rId101" display="https://www.suin-juriscol.gov.co/legislacion/?q=Ley%20137%20de%201994"/>
    <hyperlink ref="E105" r:id="rId102" display="https://www.suin-juriscol.gov.co/legislacion/?q=Ley%201473%20de%202011"/>
    <hyperlink ref="E106" r:id="rId103" display="https://www.suin-juriscol.gov.co/legislacion/?q=Ley%20155%20de%201959"/>
    <hyperlink ref="E107" r:id="rId104" display="https://www.suin-juriscol.gov.co/legislacion/?q=Ley%201607%20de%202012"/>
    <hyperlink ref="E108" r:id="rId105" display="https://www.suin-juriscol.gov.co/legislacion/?q=Ley%20160%20de%201994"/>
    <hyperlink ref="E109" r:id="rId106" display="https://www.suin-juriscol.gov.co/legislacion/?q=Ley%201692%20de%202017"/>
    <hyperlink ref="E110" r:id="rId107" display="https://www.suin-juriscol.gov.co/legislacion/?q=Ley%201700%20de%202013"/>
    <hyperlink ref="E111" r:id="rId108" display="http://www.secretariasenado.gov.co/senado/basedoc/?q=Codigo%20nacional%20policia"/>
    <hyperlink ref="E112" r:id="rId109" display="https://www.suin-juriscol.gov.co/legislacion/?q=Ley%201819%20de%202016"/>
    <hyperlink ref="E113" r:id="rId110" display="https://www.suin-juriscol.gov.co/legislacion/?q=Ley%201909%20de%202018"/>
    <hyperlink ref="E114" r:id="rId111" display="https://www.suin-juriscol.gov.co/legislacion/?q=Ley%202114%20de%202021"/>
    <hyperlink ref="E115" r:id="rId112" display="https://www.suin-juriscol.gov.co/legislacion/?q=Ley%202157%20de%202021"/>
    <hyperlink ref="E116" r:id="rId113" display="https://www.suin-juriscol.gov.co/legislacion/?q=Ley%202160%20de%202021"/>
    <hyperlink ref="E117" r:id="rId114" display="https://www.suin-juriscol.gov.co/legislacion/?q=Ley%202251%20de%202022"/>
    <hyperlink ref="E118" r:id="rId115" display="https://www.suin-juriscol.gov.co/legislacion/?q=Ley%2023%20de%201961"/>
    <hyperlink ref="E119" r:id="rId116" display="https://www.suin-juriscol.gov.co/legislacion/?q=Ley%202737%20de%201989"/>
    <hyperlink ref="E120" r:id="rId117" display="https://www.suin-juriscol.gov.co/legislacion/?q=Ley%2029%20de%201982"/>
    <hyperlink ref="E121" r:id="rId118" display="https://www.suin-juriscol.gov.co/legislacion/?q=Ley%20527%20de%201999"/>
    <hyperlink ref="E122" r:id="rId119" display="https://www.suin-juriscol.gov.co/legislacion/?q=Ley%20600%20de%202000"/>
    <hyperlink ref="E123" r:id="rId120" display="https://www.suin-juriscol.gov.co/legislacion/?q=Ley%20640%20de%202001"/>
    <hyperlink ref="E124" r:id="rId121" display="https://www.suin-juriscol.gov.co/legislacion/?q=Ley%20678%20de%202001"/>
    <hyperlink ref="E125" r:id="rId122" display="https://www.suin-juriscol.gov.co/legislacion/?q=Ley%20721%20de%202001"/>
    <hyperlink ref="E126" r:id="rId123" display="https://www.suin-juriscol.gov.co/legislacion/?q=Ley%2075%20de%201968"/>
    <hyperlink ref="E127" r:id="rId124" display="https://www.suin-juriscol.gov.co/legislacion/?q=Ley%20769%20de%202002"/>
    <hyperlink ref="E128" r:id="rId125" display="https://www.suin-juriscol.gov.co/legislacion/?q=Ley%20820%20de%202003"/>
    <hyperlink ref="E129" r:id="rId126" display="https://www.suin-juriscol.gov.co/legislacion/?q=Ley%20964%20de%202006"/>
    <hyperlink ref="E130" r:id="rId127" display="https://www.corteconstitucional.gov.co/relatoria/?q=Sentencia%20C-4%20de%201998"/>
    <hyperlink ref="E131" r:id="rId128" display="https://www.corteconstitucional.gov.co/relatoria/?q=Sentencia%20C-22%20de%201996"/>
    <hyperlink ref="E132" r:id="rId129" display="https://www.corteconstitucional.gov.co/relatoria/?q=Sentencia%20C-80%20de%202025"/>
    <hyperlink ref="E133" r:id="rId130" display="https://www.corteconstitucional.gov.co/relatoria/?q=Sentencia%20C-1033%20de%202002"/>
    <hyperlink ref="E134" r:id="rId131" display="https://www.corteconstitucional.gov.co/relatoria/?q=Sentencia%20C-106%20de%202018"/>
    <hyperlink ref="E135" r:id="rId132" display="https://www.corteconstitucional.gov.co/relatoria/?q=Sentencia%20C-1189%20de%202000"/>
    <hyperlink ref="E136" r:id="rId133" display="https://www.corteconstitucional.gov.co/relatoria/?q=Sentencia%20C-131%20de%202018"/>
    <hyperlink ref="E137" r:id="rId134" display="https://www.corteconstitucional.gov.co/relatoria/?q=Sentencia%20C-145%20de%202020"/>
    <hyperlink ref="E138" r:id="rId135" display="https://www.corteconstitucional.gov.co/relatoria/?q=Sentencia%20C-149%20de%201993"/>
    <hyperlink ref="E139" r:id="rId136" display="https://www.corteconstitucional.gov.co/relatoria/?q=Sentencia%20C-170%20de%202004"/>
    <hyperlink ref="E140" r:id="rId137" display="https://www.corteconstitucional.gov.co/relatoria/?q=Sentencia%20C-183%20de%202025"/>
    <hyperlink ref="E141" r:id="rId138" display="https://www.corteconstitucional.gov.co/relatoria/?q=Sentencia%20C-201%20de%202002"/>
    <hyperlink ref="E142" r:id="rId139" display="https://www.corteconstitucional.gov.co/relatoria/?q=Sentencia%20C-225%20de%201995"/>
    <hyperlink ref="E143" r:id="rId140" display="https://www.corteconstitucional.gov.co/relatoria/?q=Sentencia%20C-233%20de%202021"/>
    <hyperlink ref="E144" r:id="rId141" display="https://www.corteconstitucional.gov.co/relatoria/?q=Sentencia%20C-239%20de%201997"/>
    <hyperlink ref="E145" r:id="rId142" display="https://www.corteconstitucional.gov.co/relatoria/?q=Sentencia%20C-276%20de%202025"/>
    <hyperlink ref="E146" r:id="rId143" display="https://www.corteconstitucional.gov.co/relatoria/?q=Sentencia%20C-335%20de%202008"/>
    <hyperlink ref="E147" r:id="rId144" display="https://www.corteconstitucional.gov.co/relatoria/?q=Sentencia%20C-345%20de%202017"/>
    <hyperlink ref="E148" r:id="rId145" display="https://www.corteconstitucional.gov.co/relatoria/?q=Sentencia%20C-389%20de%202023"/>
    <hyperlink ref="E149" r:id="rId146" display="https://www.corteconstitucional.gov.co/relatoria/?q=Sentencia%20C-413%20de%201996"/>
    <hyperlink ref="E150" r:id="rId147" display="https://www.corteconstitucional.gov.co/relatoria/?q=Sentencia%20C-459%20de%202023"/>
    <hyperlink ref="E151" r:id="rId148" display="https://www.corteconstitucional.gov.co/relatoria/?q=Sentencia%20C-486%20de%201993"/>
    <hyperlink ref="E152" r:id="rId149" display="https://www.corteconstitucional.gov.co/relatoria/?q=Sentencia%20C-533%20de%202000"/>
    <hyperlink ref="E153" r:id="rId150" display="https://www.corteconstitucional.gov.co/relatoria/?q=Sentencia%20C-535%20de%202002"/>
    <hyperlink ref="E154" r:id="rId151" display="https://www.corteconstitucional.gov.co/relatoria/?q=Sentencia%20C-537%20de%201995"/>
    <hyperlink ref="E155" r:id="rId152" display="https://www.corteconstitucional.gov.co/relatoria/?q=Sentencia%20C-683%20de%202015"/>
    <hyperlink ref="E156" r:id="rId153" display="https://www.corteconstitucional.gov.co/relatoria/?q=Sentencia%20C-700%20de%201999"/>
    <hyperlink ref="E157" r:id="rId154" display="https://www.corteconstitucional.gov.co/relatoria/?q=Sentencia%20C-964%20de%202003"/>
    <hyperlink ref="E158" r:id="rId155" display="https://www.corteconstitucional.gov.co/relatoria/?q=Sentencia%20C-985%20de%202010"/>
    <hyperlink ref="E159" r:id="rId156" display="https://www.corteconstitucional.gov.co/relatoria/?q=Sentencia%20SC-1121%20de%202018"/>
    <hyperlink ref="E160" r:id="rId157" display="https://www.corteconstitucional.gov.co/relatoria/?q=Sentencia%20SC-18392%20de%202017"/>
    <hyperlink ref="E161" r:id="rId158" display="https://www.corteconstitucional.gov.co/relatoria/?q=Sentencia%20SC-3085%20de%202024"/>
    <hyperlink ref="E162" r:id="rId159" display="https://www.corteconstitucional.gov.co/relatoria/?q=Sentencia%20SC-3674%20de%202021"/>
    <hyperlink ref="E163" r:id="rId160" display="https://www.corteconstitucional.gov.co/relatoria/?q=Sentencia%20SC-425%20de%202024"/>
    <hyperlink ref="E164" r:id="rId161" display="https://www.corteconstitucional.gov.co/relatoria/?q=Sentencia%20SC-8453%20de%202016"/>
    <hyperlink ref="E165" r:id="rId162" display="https://www.corteconstitucional.gov.co/relatoria/?q=Sentencia%20SL-1050%20de%202023"/>
    <hyperlink ref="E166" r:id="rId163" display="https://www.corteconstitucional.gov.co/relatoria/?q=Sentencia%20SL-1730%20de%202020"/>
    <hyperlink ref="E167" r:id="rId164" display="https://www.corteconstitucional.gov.co/relatoria/?q=Sentencia%20SL-1972%20de%202025"/>
    <hyperlink ref="E168" r:id="rId165" display="https://www.corteconstitucional.gov.co/relatoria/?q=Sentencia%20SP-1167%20de%202022"/>
    <hyperlink ref="E169" r:id="rId166" display="https://www.corteconstitucional.gov.co/relatoria/?q=Sentencia%20SP-3218%20de%202021"/>
    <hyperlink ref="E170" r:id="rId167" display="https://www.corteconstitucional.gov.co/relatoria/?q=Sentencia%20SU-6%20de%201991"/>
    <hyperlink ref="E171" r:id="rId168" display="https://www.corteconstitucional.gov.co/relatoria/?q=Sentencia%20T-4%20de%202026"/>
    <hyperlink ref="E172" r:id="rId169" display="https://www.corteconstitucional.gov.co/relatoria/?q=Sentencia%20T-26%20de%202025"/>
    <hyperlink ref="E173" r:id="rId170" display="https://www.corteconstitucional.gov.co/relatoria/?q=Sentencia%20T-67%20de%202025"/>
    <hyperlink ref="E174" r:id="rId171" display="https://www.corteconstitucional.gov.co/relatoria/?q=Sentencia%20T-71%20de%202016"/>
    <hyperlink ref="E175" r:id="rId172" display="https://www.corteconstitucional.gov.co/relatoria/?q=Sentencia%20T-77%20de%202025"/>
    <hyperlink ref="E176" r:id="rId173" display="https://www.corteconstitucional.gov.co/relatoria/?q=Sentencia%20T-1001%20de%202001"/>
    <hyperlink ref="E177" r:id="rId174" display="https://www.corteconstitucional.gov.co/relatoria/?q=Sentencia%20T-1059%20de%202001"/>
    <hyperlink ref="E178" r:id="rId175" display="https://www.corteconstitucional.gov.co/relatoria/?q=Sentencia%20T-1096%20de%202008"/>
    <hyperlink ref="E179" r:id="rId176" display="https://www.corteconstitucional.gov.co/relatoria/?q=Sentencia%20T-145%20de%202016"/>
    <hyperlink ref="E180" r:id="rId177" display="https://www.corteconstitucional.gov.co/relatoria/?q=Sentencia%20T-230%20de%202023"/>
    <hyperlink ref="E181" r:id="rId178" display="https://www.corteconstitucional.gov.co/relatoria/?q=Sentencia%20T-232%20de%202025"/>
    <hyperlink ref="E182" r:id="rId179" display="https://www.corteconstitucional.gov.co/relatoria/?q=Sentencia%20T-248%20de%202025"/>
    <hyperlink ref="E183" r:id="rId180" display="https://www.corteconstitucional.gov.co/relatoria/?q=Sentencia%20T-262%20de%202025"/>
    <hyperlink ref="E184" r:id="rId181" display="https://www.corteconstitucional.gov.co/relatoria/?q=Sentencia%20T-325%20de%202025"/>
    <hyperlink ref="E185" r:id="rId182" display="https://www.corteconstitucional.gov.co/relatoria/?q=Sentencia%20T-350%20de%202025"/>
    <hyperlink ref="E186" r:id="rId183" display="https://www.corteconstitucional.gov.co/relatoria/?q=Sentencia%20T-429%20de%202011"/>
    <hyperlink ref="E187" r:id="rId184" display="https://www.corteconstitucional.gov.co/relatoria/?q=Sentencia%20T-445%20de%202024"/>
    <hyperlink ref="E188" r:id="rId185" display="https://www.corteconstitucional.gov.co/relatoria/?q=Sentencia%20T-925%20de%202014"/>
    <hyperlink ref="E189" r:id="rId186" display="https://www.corteconstitucional.gov.co/relatoria/?q=Sentencia%20T-970%20de%202014"/>
    <hyperlink ref="E190" r:id="rId187" display="http://www.secretariasenado.gov.co/senado/basedoc/?q=Decision%20andina%20351"/>
    <hyperlink ref="E191" r:id="rId188" display="http://www.secretariasenado.gov.co/senado/basedoc/decreto_2591_1991.html"/>
    <hyperlink ref="E192" r:id="rId189" display="http://www.secretariasenado.gov.co/senado/basedoc/codigo_comercio.html"/>
    <hyperlink ref="E193" r:id="rId190" display="https://www.dian.gov.co"/>
    <hyperlink ref="E194" r:id="rId191" display="http://www.secretariasenado.gov.co/senado/basedoc/ley_0100_1993.html"/>
    <hyperlink ref="E195" r:id="rId192" display="http://www.secretariasenado.gov.co/senado/basedoc/ley_1266_2008.html"/>
    <hyperlink ref="E196" r:id="rId193" display="http://www.secretariasenado.gov.co/senado/basedoc/ley_1437_2011.html"/>
    <hyperlink ref="E197" r:id="rId194" display="http://www.secretariasenado.gov.co/senado/basedoc/ley_1563_2012.html"/>
    <hyperlink ref="E198" r:id="rId195" display="http://www.secretariasenado.gov.co/senado/basedoc/ley_0222_1995.html"/>
    <hyperlink ref="E199" r:id="rId196" display="http://www.secretariasenado.gov.co/senado/basedoc/ley_0023_1982.html"/>
    <hyperlink ref="E200" r:id="rId197" display="http://www.secretariasenado.gov.co/senado/basedoc/ley_0270_1996.html"/>
    <hyperlink ref="E201" r:id="rId198" display="http://www.secretariasenado.gov.co/senado/basedoc/ley_0472_1998.html"/>
    <hyperlink ref="E202" r:id="rId199" display="http://www.secretariasenado.gov.co/senado/basedoc/ley_0489_1998.html"/>
    <hyperlink ref="E203" r:id="rId200" display="http://www.secretariasenado.gov.co/senado/basedoc/ley_0599_2000.html"/>
    <hyperlink ref="E204" r:id="rId201" display="http://www.secretariasenado.gov.co/senado/basedoc/codigo_civil.html"/>
    <hyperlink ref="E205" r:id="rId202" display="http://www.secretariasenado.gov.co/senado/basedoc/ley_0906_2004.html"/>
    <hyperlink ref="E206" r:id="rId203" display="https://www.corteconstitucional.gov.co/relatoria/?q=Sentencia%20C-468%20de%202024"/>
    <hyperlink ref="E207" r:id="rId204" display="https://www.consejodeestado.gov.co"/>
    <hyperlink ref="E208" r:id="rId205" display="https://cortesuprema.gov.co"/>
    <hyperlink ref="E209" r:id="rId206" display="https://cortesuprema.gov.co"/>
    <hyperlink ref="E210" r:id="rId207" display="https://www.corteconstitucional.gov.co/relatoria/?q=Sentencia%20SU-016%20de%202020"/>
    <hyperlink ref="E211" r:id="rId208" display="https://www.corteconstitucional.gov.co/relatoria/?q=Sentencia%20SU-277%20de%202025"/>
    <hyperlink ref="E212" r:id="rId209" display="https://www.corteconstitucional.gov.co/relatoria/?q=Sentencia%20T-256%20de%202025"/>
    <hyperlink ref="E213" r:id="rId210" display="https://www.supersociedades.gov.co"/>
    <hyperlink ref="E214" r:id="rId211" display="https://www.consejodeestado.gov.co"/>
    <hyperlink ref="E215" r:id="rId212" display="https://cortesuprema.gov.co"/>
    <hyperlink ref="E216" r:id="rId213" display="https://cortesuprema.gov.co"/>
    <hyperlink ref="E217" r:id="rId214" display="https://www.suin-juriscol.gov.co/legislacion/?q=Decreto%201072%20de%202015"/>
    <hyperlink ref="E218" r:id="rId215" display="https://www.suin-juriscol.gov.co/legislacion/?q=Decreto%201074%20de%202015"/>
    <hyperlink ref="E219" r:id="rId216" display="https://www.suin-juriscol.gov.co/legislacion/?q=Decreto%201083%20de%202015"/>
    <hyperlink ref="E220" r:id="rId217" display="https://www.suin-juriscol.gov.co/legislacion/?q=Decreto%201333%20de%201986"/>
    <hyperlink ref="E221" r:id="rId218" display="https://www.suin-juriscol.gov.co/legislacion/?q=Decreto%201377%20de%202013"/>
    <hyperlink ref="E222" r:id="rId219" display="https://www.suin-juriscol.gov.co/legislacion/?q=Decreto%201625%20de%202016"/>
    <hyperlink ref="E223" r:id="rId220" display="http://www.secretariasenado.gov.co/senado/basedoc/codigo_procedimental_laboral.html"/>
    <hyperlink ref="E224" r:id="rId221" display="https://www.suin-juriscol.gov.co/legislacion/?q=Decreto%20333%20de%202021"/>
    <hyperlink ref="E225" r:id="rId222" display="http://www.secretariasenado.gov.co/senado/basedoc/ley_1060_2006.html"/>
    <hyperlink ref="E226" r:id="rId223" display="http://www.secretariasenado.gov.co/senado/basedoc/ley_1257_2008.html"/>
    <hyperlink ref="E227" r:id="rId224" display="http://www.secretariasenado.gov.co/senado/basedoc/ley_1328_2009.html"/>
    <hyperlink ref="E228" r:id="rId225" display="http://www.secretariasenado.gov.co/senado/basedoc/ley_0134_1994.html"/>
    <hyperlink ref="E229" r:id="rId226" display="http://www.secretariasenado.gov.co/senado/basedoc/ley_0136_1994.html"/>
    <hyperlink ref="E230" r:id="rId227" display="http://www.secretariasenado.gov.co/senado/basedoc/ley_1453_2011.html"/>
    <hyperlink ref="E231" r:id="rId228" display="http://www.secretariasenado.gov.co/senado/basedoc/ley_1474_2011.html"/>
    <hyperlink ref="E232" r:id="rId229" display="http://www.secretariasenado.gov.co/senado/basedoc/ley_0014_1983.html"/>
    <hyperlink ref="E233" r:id="rId230" display="http://www.secretariasenado.gov.co/senado/basedoc/ley_1676_2013.html"/>
    <hyperlink ref="E234" r:id="rId231" display="http://www.secretariasenado.gov.co/senado/basedoc/ley_1709_2014.html"/>
    <hyperlink ref="E235" r:id="rId232" display="http://www.secretariasenado.gov.co/senado/basedoc/ley_1712_2014.html"/>
    <hyperlink ref="E236" r:id="rId233" display="http://www.secretariasenado.gov.co/senado/basedoc/ley_1751_2015.html"/>
    <hyperlink ref="E237" r:id="rId234" display="http://www.secretariasenado.gov.co/senado/basedoc/ley_1757_2015.html"/>
    <hyperlink ref="E238" r:id="rId235" display="http://www.secretariasenado.gov.co/senado/basedoc/ley_1761_2015.html"/>
    <hyperlink ref="E239" r:id="rId236" display="http://www.secretariasenado.gov.co/senado/basedoc/ley_1822_2017.html"/>
    <hyperlink ref="E240" r:id="rId237" display="http://www.secretariasenado.gov.co/senado/basedoc/ley_1826_2017.html"/>
    <hyperlink ref="E241" r:id="rId238" display="http://www.secretariasenado.gov.co/senado/basedoc/ley_1882_2018.html"/>
    <hyperlink ref="E242" r:id="rId239" display="http://www.secretariasenado.gov.co/senado/basedoc/ley_1996_2019.html"/>
    <hyperlink ref="E243" r:id="rId240" display="http://www.secretariasenado.gov.co/senado/basedoc/ley_2010_2019.html"/>
    <hyperlink ref="E244" r:id="rId241" display="http://www.secretariasenado.gov.co/senado/basedoc/ley_2080_2021.html"/>
    <hyperlink ref="E245" r:id="rId242" display="http://www.secretariasenado.gov.co/senado/basedoc/ley_2094_2021.html"/>
    <hyperlink ref="E246" r:id="rId243" display="http://www.secretariasenado.gov.co/senado/basedoc/ley_2101_2021.html"/>
    <hyperlink ref="E247" r:id="rId244" display="http://www.secretariasenado.gov.co/senado/basedoc/ley_2213_2022.html"/>
    <hyperlink ref="E248" r:id="rId245" display="http://www.secretariasenado.gov.co/senado/basedoc/ley_2277_2022.html"/>
    <hyperlink ref="E249" r:id="rId246" display="http://www.secretariasenado.gov.co/senado/basedoc/ley_2381_2024.html"/>
    <hyperlink ref="E250" r:id="rId247" display="http://www.secretariasenado.gov.co/senado/basedoc/ley_0025_1992.html"/>
    <hyperlink ref="E251" r:id="rId248" display="http://www.secretariasenado.gov.co/senado/basedoc/ley_0294_1996.html"/>
    <hyperlink ref="E252" r:id="rId249" display="http://www.secretariasenado.gov.co/senado/basedoc/ley_0361_1997.html"/>
    <hyperlink ref="E253" r:id="rId250" display="http://www.secretariasenado.gov.co/senado/basedoc/ley_0393_1997.html"/>
    <hyperlink ref="E254" r:id="rId251" display="http://www.secretariasenado.gov.co/senado/basedoc/ley_0005_1992.html"/>
    <hyperlink ref="E255" r:id="rId252" display="http://www.secretariasenado.gov.co/senado/basedoc/ley_0610_2000.html"/>
    <hyperlink ref="E256" r:id="rId253" display="http://www.secretariasenado.gov.co/senado/basedoc/ley_0065_1993.html"/>
    <hyperlink ref="E257" r:id="rId254" display="http://www.secretariasenado.gov.co/senado/basedoc/ley_0675_2001.html"/>
    <hyperlink ref="E258" r:id="rId255" display="http://www.secretariasenado.gov.co/senado/basedoc/ley_0789_2002.html"/>
    <hyperlink ref="E259" r:id="rId256" display="http://www.secretariasenado.gov.co/senado/basedoc/ley_0791_2002.html"/>
    <hyperlink ref="E260" r:id="rId257" display="http://www.secretariasenado.gov.co/senado/basedoc/ley_0909_2004.html"/>
    <hyperlink ref="E261" r:id="rId258" display="https://www.suin-juriscol.gov.co/legislacion/?q=Resoluci%C3%B3n%20368%20de%202014"/>
    <hyperlink ref="E262" r:id="rId259" display="https://www.corteconstitucional.gov.co/relatoria/?q=Sentencia%20C-029%20de%202009"/>
    <hyperlink ref="E263" r:id="rId260" display="https://www.corteconstitucional.gov.co/relatoria/?q=Sentencia%20C-071%20de%202015"/>
    <hyperlink ref="E264" r:id="rId261" display="https://www.corteconstitucional.gov.co/relatoria/?q=Sentencia%20C-075%20de%202007"/>
    <hyperlink ref="E265" r:id="rId262" display="https://www.corteconstitucional.gov.co/relatoria/?q=Sentencia%20C-093%20de%202001"/>
    <hyperlink ref="E266" r:id="rId263" display="https://www.corteconstitucional.gov.co/relatoria/?q=Sentencia%20C-1011%20de%202008"/>
    <hyperlink ref="E267" r:id="rId264" display="https://www.corteconstitucional.gov.co/relatoria/?q=Sentencia%20C-1141%20de%202000"/>
    <hyperlink ref="E268" r:id="rId265" display="https://www.corteconstitucional.gov.co/relatoria/?q=Sentencia%20C-141%20de%202010"/>
    <hyperlink ref="E269" r:id="rId266" display="https://www.corteconstitucional.gov.co/relatoria/?q=Sentencia%20C-221%20de%201994"/>
    <hyperlink ref="E270" r:id="rId267" display="https://www.corteconstitucional.gov.co/relatoria/?q=Sentencia%20C-264%20de%202026"/>
    <hyperlink ref="E271" r:id="rId268" display="https://www.corteconstitucional.gov.co/relatoria/?q=Sentencia%20C-294%20de%202021"/>
    <hyperlink ref="E272" r:id="rId269" display="https://www.corteconstitucional.gov.co/relatoria/?q=Sentencia%20C-420%20de%202020"/>
    <hyperlink ref="E273" r:id="rId270" display="https://www.corteconstitucional.gov.co/relatoria/?q=Sentencia%20C-481%20de%202019"/>
    <hyperlink ref="E274" r:id="rId271" display="https://www.corteconstitucional.gov.co/relatoria/?q=Sentencia%20C-543%20de%201992"/>
    <hyperlink ref="E275" r:id="rId272" display="https://www.corteconstitucional.gov.co/relatoria/?q=Sentencia%20C-551%20de%202003"/>
    <hyperlink ref="E276" r:id="rId273" display="https://www.corteconstitucional.gov.co/relatoria/?q=Sentencia%20C-577%20de%202011"/>
    <hyperlink ref="E277" r:id="rId274" display="https://www.corteconstitucional.gov.co/relatoria/?q=Sentencia%20C-590%20de%202005"/>
    <hyperlink ref="E278" r:id="rId275" display="https://www.corteconstitucional.gov.co/relatoria/?q=Sentencia%20C-591%20de%202005"/>
    <hyperlink ref="E279" r:id="rId276" display="https://www.corteconstitucional.gov.co/relatoria/?q=Sentencia%20C-614%20de%202009"/>
    <hyperlink ref="E280" r:id="rId277" display="https://www.corteconstitucional.gov.co/relatoria/?q=Sentencia%20C-634%20de%202011"/>
    <hyperlink ref="E281" r:id="rId278" display="https://www.corteconstitucional.gov.co/relatoria/?q=Sentencia%20C-776%20de%202003"/>
    <hyperlink ref="E282" r:id="rId279" display="https://www.corteconstitucional.gov.co/relatoria/?q=Sentencia%20C-816%20de%202011"/>
    <hyperlink ref="E283" r:id="rId280" display="https://www.corteconstitucional.gov.co/relatoria/?q=Sentencia%20C-818%20de%202011"/>
    <hyperlink ref="E284" r:id="rId281" display="https://www.corteconstitucional.gov.co/relatoria/?q=Sentencia%20C-836%20de%202001"/>
    <hyperlink ref="E285" r:id="rId282" display="https://www.corteconstitucional.gov.co/relatoria/?q=Sentencia%20C-951%20de%202014"/>
    <hyperlink ref="E286" r:id="rId283" display="https://www.corteconstitucional.gov.co/relatoria/?q=Sentencia%20SU-047%20de%201999"/>
    <hyperlink ref="E287" r:id="rId284" display="https://www.corteconstitucional.gov.co/relatoria/?q=Sentencia%20SU-049%20de%202017"/>
    <hyperlink ref="E288" r:id="rId285" display="https://www.corteconstitucional.gov.co/relatoria/?q=Sentencia%20SU-075%20de%202018"/>
    <hyperlink ref="E289" r:id="rId286" display="https://www.corteconstitucional.gov.co/relatoria/?q=Sentencia%20T-025%20de%202004"/>
    <hyperlink ref="E290" r:id="rId287" display="https://www.corteconstitucional.gov.co/relatoria/?q=Sentencia%20T-406%20de%201992"/>
    <hyperlink ref="E291" r:id="rId288" display="https://www.corteconstitucional.gov.co/relatoria/?q=Sentencia%20T-881%20de%202002"/>
    <hyperlink ref="E292" r:id="rId289" display="http://www.secretariasenado.gov.co/senado/basedoc/?q=Decision%20andina%20345"/>
    <hyperlink ref="E293" r:id="rId290" display="https://www.sic.gov.co"/>
    <hyperlink ref="E294" r:id="rId291" display="https://www.suin-juriscol.gov.co/legislacion/?q=Decreto%201295%20de%201994"/>
    <hyperlink ref="E295" r:id="rId292" display="https://www.suin-juriscol.gov.co/legislacion/?q=Decreto%2019%20de%202012"/>
    <hyperlink ref="E296" r:id="rId293" display="https://www.suin-juriscol.gov.co/legislacion/?q=Decreto%202555%20de%202010"/>
    <hyperlink ref="E297" r:id="rId294" display="https://www.suin-juriscol.gov.co/legislacion/?q=Decreto%20306%20de%201992"/>
    <hyperlink ref="E298" r:id="rId295" display="https://www.suin-juriscol.gov.co/legislacion/?q=Decreto%20806%20de%202020"/>
    <hyperlink ref="E299" r:id="rId296" display="http://www.secretariasenado.gov.co/senado/basedoc/ley_1121_2006.html"/>
    <hyperlink ref="E300" r:id="rId297" display="http://www.secretariasenado.gov.co/senado/basedoc/ley_1221_2008.html"/>
    <hyperlink ref="E301" r:id="rId298" display="http://www.secretariasenado.gov.co/senado/basedoc/ley_1231_2008.html"/>
    <hyperlink ref="E302" r:id="rId299" display="http://www.secretariasenado.gov.co/senado/basedoc/ley_1273_2009.html"/>
    <hyperlink ref="E303" r:id="rId300" display="http://www.secretariasenado.gov.co/senado/basedoc/ley_1285_2009.html"/>
    <hyperlink ref="E304" r:id="rId301" display="http://www.secretariasenado.gov.co/senado/basedoc/ley_1429_2010.html"/>
    <hyperlink ref="E305" r:id="rId302" display="http://www.secretariasenado.gov.co/senado/basedoc/ley_1551_2012.html"/>
    <hyperlink ref="E306" r:id="rId303" display="http://www.secretariasenado.gov.co/senado/basedoc/ley_1561_2012.html"/>
    <hyperlink ref="E307" r:id="rId304" display="http://www.secretariasenado.gov.co/senado/basedoc/ley_1579_2012.html"/>
    <hyperlink ref="E308" r:id="rId305" display="http://www.secretariasenado.gov.co/senado/basedoc/ley_1739_2014.html"/>
    <hyperlink ref="E309" r:id="rId306" display="http://www.secretariasenado.gov.co/senado/basedoc/ley_1878_2018.html"/>
    <hyperlink ref="E310" r:id="rId307" display="http://www.secretariasenado.gov.co/senado/basedoc/ley_1915_2018.html"/>
    <hyperlink ref="E311" r:id="rId308" display="http://www.secretariasenado.gov.co/senado/basedoc/ley_1943_2018.html"/>
    <hyperlink ref="E312" r:id="rId309" display="http://www.secretariasenado.gov.co/senado/basedoc/ley_2069_2020.html"/>
    <hyperlink ref="E313" r:id="rId310" display="http://www.secretariasenado.gov.co/senado/basedoc/ley_2088_2021.html"/>
    <hyperlink ref="E314" r:id="rId311" display="http://www.secretariasenado.gov.co/senado/basedoc/ley_2097_2021.html"/>
    <hyperlink ref="E315" r:id="rId312" display="http://www.secretariasenado.gov.co/senado/basedoc/ley_2098_2021.html"/>
    <hyperlink ref="E316" r:id="rId313" display="http://www.secretariasenado.gov.co/senado/basedoc/ley_2121_2021.html"/>
    <hyperlink ref="E317" r:id="rId314" display="http://www.secretariasenado.gov.co/senado/basedoc/ley_2126_2021.html"/>
    <hyperlink ref="E318" r:id="rId315" display="http://www.secretariasenado.gov.co/senado/basedoc/ley_2155_2021.html"/>
    <hyperlink ref="E319" r:id="rId316" display="http://www.secretariasenado.gov.co/senado/basedoc/ley_2195_2022.html"/>
    <hyperlink ref="E320" r:id="rId317" display="http://www.secretariasenado.gov.co/senado/basedoc/ley_2197_2022.html"/>
    <hyperlink ref="E321" r:id="rId318" display="http://www.secretariasenado.gov.co/senado/basedoc/ley_0258_1996.html"/>
    <hyperlink ref="E322" r:id="rId319" display="http://www.secretariasenado.gov.co/senado/basedoc/ley_0042_1993.html"/>
    <hyperlink ref="E323" r:id="rId320" display="http://www.secretariasenado.gov.co/senado/basedoc/ley_0044_1993.html"/>
    <hyperlink ref="E324" r:id="rId321" display="http://www.secretariasenado.gov.co/senado/basedoc/ley_0776_2002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2026-09-28T17:05:16Z</dcterms:created>
  <dc:creator>openpyxl</dc:creator>
  <dc:description/>
  <dc:language>en-US</dc:language>
  <cp:lastModifiedBy/>
  <dcterms:modified xsi:type="dcterms:W3CDTF">2026-09-28T17:05:16Z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